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y website\spreadsheets\"/>
    </mc:Choice>
  </mc:AlternateContent>
  <xr:revisionPtr revIDLastSave="0" documentId="13_ncr:1_{224B78D7-2672-473C-AAF3-70DBB0F002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rket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E6" i="1"/>
  <c r="D5" i="1"/>
  <c r="C6" i="1"/>
  <c r="F5" i="1"/>
  <c r="K37" i="1"/>
  <c r="K38" i="1"/>
  <c r="K39" i="1"/>
  <c r="K40" i="1"/>
  <c r="K41" i="1"/>
  <c r="J37" i="1"/>
  <c r="J38" i="1"/>
  <c r="J39" i="1"/>
  <c r="J40" i="1"/>
  <c r="J41" i="1"/>
  <c r="H40" i="1"/>
  <c r="F40" i="1"/>
  <c r="E40" i="1"/>
  <c r="D40" i="1"/>
  <c r="C40" i="1"/>
  <c r="B40" i="1"/>
  <c r="H39" i="1"/>
  <c r="E39" i="1"/>
  <c r="D39" i="1"/>
  <c r="C39" i="1"/>
  <c r="B39" i="1"/>
  <c r="H38" i="1"/>
  <c r="F38" i="1"/>
  <c r="E38" i="1"/>
  <c r="D38" i="1"/>
  <c r="C38" i="1"/>
  <c r="B38" i="1"/>
  <c r="H37" i="1"/>
  <c r="F37" i="1"/>
  <c r="E37" i="1"/>
  <c r="D37" i="1"/>
  <c r="C37" i="1"/>
  <c r="B37" i="1"/>
  <c r="H36" i="1"/>
  <c r="F36" i="1"/>
  <c r="E36" i="1"/>
  <c r="D36" i="1"/>
  <c r="C36" i="1"/>
  <c r="B36" i="1"/>
  <c r="H5" i="1"/>
  <c r="G5" i="1"/>
  <c r="B5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F39" i="1" l="1"/>
</calcChain>
</file>

<file path=xl/sharedStrings.xml><?xml version="1.0" encoding="utf-8"?>
<sst xmlns="http://schemas.openxmlformats.org/spreadsheetml/2006/main" count="68" uniqueCount="55">
  <si>
    <t>Quarter</t>
  </si>
  <si>
    <t>Q1-2024</t>
  </si>
  <si>
    <t>Q2-2024</t>
  </si>
  <si>
    <t>Q3-2024</t>
  </si>
  <si>
    <t>Q4-2024</t>
  </si>
  <si>
    <t>Q1-2025</t>
  </si>
  <si>
    <t>Q2-2025</t>
  </si>
  <si>
    <t>Q3-2025</t>
  </si>
  <si>
    <t>Q4-2025</t>
  </si>
  <si>
    <t>Q1-2026</t>
  </si>
  <si>
    <t>Company</t>
  </si>
  <si>
    <t>Q1 2026</t>
  </si>
  <si>
    <t>Growth %</t>
  </si>
  <si>
    <t>First American</t>
  </si>
  <si>
    <t>Old Republic</t>
  </si>
  <si>
    <t>Stewart</t>
  </si>
  <si>
    <t>U.S. TITLE INSURANCE — MARKET INTELLIGENCE DASHBOARD</t>
  </si>
  <si>
    <t>Quarterly performance, market share &amp; competitive positioning  •  FY 2021 – Q1 2026  •  USD millions</t>
  </si>
  <si>
    <t>KEY METRICS — Q1 2026</t>
  </si>
  <si>
    <t>INDUSTRY TOTAL</t>
  </si>
  <si>
    <t>MARKET LEADER</t>
  </si>
  <si>
    <t>AVG YoY GROWTH</t>
  </si>
  <si>
    <t>FASTEST GROWING</t>
  </si>
  <si>
    <t>TOP-4 CONCENTRATION</t>
  </si>
  <si>
    <t>5-YR PEAK QUARTER</t>
  </si>
  <si>
    <t>Q1’26 vs Q1’25</t>
  </si>
  <si>
    <t>QUARTERLY REVENUE BY COMPANY ($M)</t>
  </si>
  <si>
    <t>Pinnacle Title</t>
  </si>
  <si>
    <t>Westfield</t>
  </si>
  <si>
    <t>Industry Total</t>
  </si>
  <si>
    <t>QoQ %</t>
  </si>
  <si>
    <t>Q1-2021</t>
  </si>
  <si>
    <t>Q2-2021</t>
  </si>
  <si>
    <t>Q3-2021</t>
  </si>
  <si>
    <t>Q4-2021</t>
  </si>
  <si>
    <t>Q1-2022</t>
  </si>
  <si>
    <t>Q2-2022</t>
  </si>
  <si>
    <t>Q3-2022</t>
  </si>
  <si>
    <t>Q4-2022</t>
  </si>
  <si>
    <t>Q1-2023</t>
  </si>
  <si>
    <t>Q2-2023</t>
  </si>
  <si>
    <t>Q3-2023</t>
  </si>
  <si>
    <t>Q4-2023</t>
  </si>
  <si>
    <t>Q1 2026 revenue</t>
  </si>
  <si>
    <t>YoY industry</t>
  </si>
  <si>
    <t>Top-4 market share</t>
  </si>
  <si>
    <t>Industry YoY</t>
  </si>
  <si>
    <t>YOY GROWTH ANALYSIS — Q1 2026 vs Q1 2025</t>
  </si>
  <si>
    <t>Q1 2025 ($M)</t>
  </si>
  <si>
    <t>Q1 2026 ($M)</t>
  </si>
  <si>
    <t>$ Change</t>
  </si>
  <si>
    <t>Rank</t>
  </si>
  <si>
    <t>MARKET SHARE</t>
  </si>
  <si>
    <t>Growth</t>
  </si>
  <si>
    <t>Source: Illustrative market data — Pinnacle Title Insurance Co. competitive intelligence. Figures in USD millions.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</si>
</sst>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0.0%"/>
    <numFmt numFmtId="166" formatCode="&quot;Rs&quot;#,##0"/>
    <numFmt numFmtId="167" formatCode="0.0%;[Red]\(0.0%\);&quot;—&quot;"/>
    <numFmt numFmtId="168" formatCode="&quot;Rs&quot;#,##0&quot;M&quot;"/>
    <numFmt numFmtId="169" formatCode="\+0.0%;\-0.0%"/>
  </numFmts>
  <fonts count="20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20"/>
      <color rgb="FFFFFFFF"/>
      <name val="Calibri"/>
      <scheme val="minor"/>
    </font>
    <font>
      <i/>
      <sz val="9"/>
      <color rgb="FF5A6B82"/>
      <name val="Calibri"/>
      <family val="2"/>
      <scheme val="minor"/>
    </font>
    <font>
      <i/>
      <sz val="10"/>
      <color rgb="FFC9D4E5"/>
      <name val="Calibri"/>
      <scheme val="minor"/>
    </font>
    <font>
      <sz val="11"/>
      <color theme="1"/>
      <name val="Calibri"/>
      <scheme val="minor"/>
    </font>
    <font>
      <b/>
      <sz val="12"/>
      <color rgb="FF0B1F3A"/>
      <name val="Calibri"/>
      <scheme val="minor"/>
    </font>
    <font>
      <b/>
      <sz val="9"/>
      <color rgb="FFFFFFFF"/>
      <name val="Calibri"/>
      <scheme val="minor"/>
    </font>
    <font>
      <b/>
      <sz val="18"/>
      <color rgb="FF0B1F3A"/>
      <name val="Calibri"/>
      <scheme val="minor"/>
    </font>
    <font>
      <b/>
      <sz val="14"/>
      <color rgb="FF0B1F3A"/>
      <name val="Calibri"/>
      <scheme val="minor"/>
    </font>
    <font>
      <b/>
      <sz val="18"/>
      <color rgb="FF1B7F3A"/>
      <name val="Calibri"/>
      <scheme val="minor"/>
    </font>
    <font>
      <i/>
      <sz val="9"/>
      <color rgb="FF5A6B82"/>
      <name val="Calibri"/>
      <scheme val="minor"/>
    </font>
    <font>
      <i/>
      <sz val="9"/>
      <color rgb="FF1B7F3A"/>
      <name val="Calibri"/>
      <scheme val="minor"/>
    </font>
    <font>
      <b/>
      <sz val="13"/>
      <color rgb="FF0B1F3A"/>
      <name val="Calibri"/>
      <scheme val="minor"/>
    </font>
    <font>
      <b/>
      <sz val="10"/>
      <color rgb="FFFFFFFF"/>
      <name val="Calibri"/>
      <scheme val="minor"/>
    </font>
    <font>
      <b/>
      <sz val="10"/>
      <color rgb="FF0B1F3A"/>
      <name val="Calibri"/>
      <scheme val="minor"/>
    </font>
    <font>
      <sz val="10"/>
      <color rgb="FF1A1A1A"/>
      <name val="Calibri"/>
      <scheme val="minor"/>
    </font>
    <font>
      <sz val="10"/>
      <color theme="1"/>
      <name val="Calibri"/>
      <scheme val="minor"/>
    </font>
    <font>
      <sz val="10"/>
      <color rgb="FF1B7F3A"/>
      <name val="Calibri"/>
      <scheme val="minor"/>
    </font>
    <font>
      <b/>
      <sz val="10"/>
      <color rgb="FF1B7F3A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1F3A"/>
        <bgColor indexed="64"/>
      </patternFill>
    </fill>
    <fill>
      <patternFill patternType="solid">
        <fgColor rgb="FFD4AF3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6FA"/>
        <bgColor indexed="64"/>
      </patternFill>
    </fill>
    <fill>
      <patternFill patternType="solid">
        <fgColor rgb="FFFFF8E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D4AF37"/>
      </bottom>
      <diagonal/>
    </border>
    <border>
      <left style="thin">
        <color rgb="FFD4AF37"/>
      </left>
      <right/>
      <top style="thin">
        <color rgb="FFD4AF37"/>
      </top>
      <bottom/>
      <diagonal/>
    </border>
    <border>
      <left style="thin">
        <color rgb="FFD4AF37"/>
      </left>
      <right/>
      <top/>
      <bottom/>
      <diagonal/>
    </border>
    <border>
      <left style="thin">
        <color rgb="FFD4AF37"/>
      </left>
      <right/>
      <top/>
      <bottom style="thin">
        <color rgb="FFD4AF37"/>
      </bottom>
      <diagonal/>
    </border>
    <border>
      <left style="thin">
        <color rgb="FFD4AF37"/>
      </left>
      <right style="thin">
        <color rgb="FFD4AF37"/>
      </right>
      <top style="thin">
        <color rgb="FFD4AF37"/>
      </top>
      <bottom/>
      <diagonal/>
    </border>
    <border>
      <left style="thin">
        <color rgb="FFD4AF37"/>
      </left>
      <right style="thin">
        <color rgb="FFD4AF37"/>
      </right>
      <top/>
      <bottom/>
      <diagonal/>
    </border>
    <border>
      <left style="thin">
        <color rgb="FFD4AF37"/>
      </left>
      <right style="thin">
        <color rgb="FFD4AF37"/>
      </right>
      <top/>
      <bottom style="thin">
        <color rgb="FFD4AF37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2" borderId="0" xfId="0" applyFont="1" applyFill="1" applyAlignment="1">
      <alignment horizontal="left"/>
    </xf>
    <xf numFmtId="0" fontId="0" fillId="4" borderId="0" xfId="0" applyFill="1"/>
    <xf numFmtId="0" fontId="4" fillId="2" borderId="0" xfId="0" applyFont="1" applyFill="1" applyAlignment="1">
      <alignment horizontal="left"/>
    </xf>
    <xf numFmtId="0" fontId="5" fillId="3" borderId="0" xfId="0" applyFont="1" applyFill="1"/>
    <xf numFmtId="0" fontId="6" fillId="4" borderId="0" xfId="0" applyFont="1" applyFill="1"/>
    <xf numFmtId="0" fontId="7" fillId="2" borderId="2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5" fillId="4" borderId="0" xfId="0" applyFont="1" applyFill="1"/>
    <xf numFmtId="168" fontId="8" fillId="5" borderId="3" xfId="0" applyNumberFormat="1" applyFont="1" applyFill="1" applyBorder="1" applyAlignment="1">
      <alignment horizontal="center"/>
    </xf>
    <xf numFmtId="0" fontId="9" fillId="5" borderId="3" xfId="0" applyFont="1" applyFill="1" applyBorder="1" applyAlignment="1">
      <alignment horizontal="center"/>
    </xf>
    <xf numFmtId="165" fontId="10" fillId="5" borderId="3" xfId="0" applyNumberFormat="1" applyFont="1" applyFill="1" applyBorder="1" applyAlignment="1">
      <alignment horizontal="center"/>
    </xf>
    <xf numFmtId="165" fontId="8" fillId="5" borderId="3" xfId="0" applyNumberFormat="1" applyFont="1" applyFill="1" applyBorder="1" applyAlignment="1">
      <alignment horizontal="center"/>
    </xf>
    <xf numFmtId="169" fontId="10" fillId="5" borderId="6" xfId="0" applyNumberFormat="1" applyFont="1" applyFill="1" applyBorder="1" applyAlignment="1">
      <alignment horizontal="center"/>
    </xf>
    <xf numFmtId="0" fontId="11" fillId="5" borderId="4" xfId="0" applyFont="1" applyFill="1" applyBorder="1" applyAlignment="1">
      <alignment horizontal="center"/>
    </xf>
    <xf numFmtId="0" fontId="12" fillId="5" borderId="4" xfId="0" applyFont="1" applyFill="1" applyBorder="1" applyAlignment="1">
      <alignment horizontal="center"/>
    </xf>
    <xf numFmtId="0" fontId="11" fillId="5" borderId="7" xfId="0" applyFont="1" applyFill="1" applyBorder="1" applyAlignment="1">
      <alignment horizontal="center"/>
    </xf>
    <xf numFmtId="0" fontId="5" fillId="2" borderId="0" xfId="0" applyFont="1" applyFill="1"/>
    <xf numFmtId="0" fontId="13" fillId="4" borderId="0" xfId="0" applyFont="1" applyFill="1"/>
    <xf numFmtId="0" fontId="14" fillId="2" borderId="0" xfId="0" applyFont="1" applyFill="1" applyAlignment="1">
      <alignment horizontal="center"/>
    </xf>
    <xf numFmtId="0" fontId="15" fillId="4" borderId="0" xfId="0" applyFont="1" applyFill="1" applyAlignment="1">
      <alignment horizontal="left"/>
    </xf>
    <xf numFmtId="166" fontId="16" fillId="4" borderId="0" xfId="0" applyNumberFormat="1" applyFont="1" applyFill="1" applyAlignment="1">
      <alignment horizontal="right"/>
    </xf>
    <xf numFmtId="166" fontId="15" fillId="4" borderId="0" xfId="0" applyNumberFormat="1" applyFont="1" applyFill="1" applyAlignment="1">
      <alignment horizontal="right"/>
    </xf>
    <xf numFmtId="167" fontId="17" fillId="4" borderId="0" xfId="0" applyNumberFormat="1" applyFont="1" applyFill="1" applyAlignment="1">
      <alignment horizontal="right"/>
    </xf>
    <xf numFmtId="0" fontId="15" fillId="5" borderId="0" xfId="0" applyFont="1" applyFill="1" applyAlignment="1">
      <alignment horizontal="left"/>
    </xf>
    <xf numFmtId="166" fontId="16" fillId="5" borderId="0" xfId="0" applyNumberFormat="1" applyFont="1" applyFill="1" applyAlignment="1">
      <alignment horizontal="right"/>
    </xf>
    <xf numFmtId="166" fontId="15" fillId="5" borderId="0" xfId="0" applyNumberFormat="1" applyFont="1" applyFill="1" applyAlignment="1">
      <alignment horizontal="right"/>
    </xf>
    <xf numFmtId="167" fontId="17" fillId="5" borderId="0" xfId="0" applyNumberFormat="1" applyFont="1" applyFill="1" applyAlignment="1">
      <alignment horizontal="right"/>
    </xf>
    <xf numFmtId="0" fontId="15" fillId="6" borderId="1" xfId="0" applyFont="1" applyFill="1" applyBorder="1" applyAlignment="1">
      <alignment horizontal="left"/>
    </xf>
    <xf numFmtId="166" fontId="15" fillId="6" borderId="1" xfId="0" applyNumberFormat="1" applyFont="1" applyFill="1" applyBorder="1" applyAlignment="1">
      <alignment horizontal="right"/>
    </xf>
    <xf numFmtId="167" fontId="15" fillId="6" borderId="1" xfId="0" applyNumberFormat="1" applyFont="1" applyFill="1" applyBorder="1" applyAlignment="1">
      <alignment horizontal="right"/>
    </xf>
    <xf numFmtId="0" fontId="14" fillId="2" borderId="0" xfId="0" applyFont="1" applyFill="1" applyAlignment="1">
      <alignment horizontal="left"/>
    </xf>
    <xf numFmtId="166" fontId="17" fillId="4" borderId="0" xfId="0" applyNumberFormat="1" applyFont="1" applyFill="1" applyAlignment="1">
      <alignment horizontal="right"/>
    </xf>
    <xf numFmtId="166" fontId="18" fillId="4" borderId="0" xfId="0" applyNumberFormat="1" applyFont="1" applyFill="1" applyAlignment="1">
      <alignment horizontal="right"/>
    </xf>
    <xf numFmtId="169" fontId="19" fillId="4" borderId="0" xfId="0" applyNumberFormat="1" applyFont="1" applyFill="1" applyAlignment="1">
      <alignment horizontal="right"/>
    </xf>
    <xf numFmtId="1" fontId="17" fillId="4" borderId="0" xfId="0" applyNumberFormat="1" applyFont="1" applyFill="1" applyAlignment="1">
      <alignment horizontal="center"/>
    </xf>
    <xf numFmtId="165" fontId="17" fillId="4" borderId="0" xfId="0" applyNumberFormat="1" applyFont="1" applyFill="1" applyAlignment="1">
      <alignment horizontal="right"/>
    </xf>
    <xf numFmtId="166" fontId="17" fillId="5" borderId="0" xfId="0" applyNumberFormat="1" applyFont="1" applyFill="1" applyAlignment="1">
      <alignment horizontal="right"/>
    </xf>
    <xf numFmtId="166" fontId="18" fillId="5" borderId="0" xfId="0" applyNumberFormat="1" applyFont="1" applyFill="1" applyAlignment="1">
      <alignment horizontal="right"/>
    </xf>
    <xf numFmtId="169" fontId="19" fillId="5" borderId="0" xfId="0" applyNumberFormat="1" applyFont="1" applyFill="1" applyAlignment="1">
      <alignment horizontal="right"/>
    </xf>
    <xf numFmtId="1" fontId="17" fillId="5" borderId="0" xfId="0" applyNumberFormat="1" applyFont="1" applyFill="1" applyAlignment="1">
      <alignment horizontal="center"/>
    </xf>
    <xf numFmtId="165" fontId="17" fillId="5" borderId="0" xfId="0" applyNumberFormat="1" applyFont="1" applyFill="1" applyAlignment="1">
      <alignment horizontal="right"/>
    </xf>
    <xf numFmtId="0" fontId="15" fillId="4" borderId="1" xfId="0" applyFont="1" applyFill="1" applyBorder="1" applyAlignment="1">
      <alignment horizontal="left"/>
    </xf>
    <xf numFmtId="166" fontId="17" fillId="4" borderId="1" xfId="0" applyNumberFormat="1" applyFont="1" applyFill="1" applyBorder="1" applyAlignment="1">
      <alignment horizontal="right"/>
    </xf>
    <xf numFmtId="166" fontId="18" fillId="4" borderId="1" xfId="0" applyNumberFormat="1" applyFont="1" applyFill="1" applyBorder="1" applyAlignment="1">
      <alignment horizontal="right"/>
    </xf>
    <xf numFmtId="169" fontId="19" fillId="4" borderId="1" xfId="0" applyNumberFormat="1" applyFont="1" applyFill="1" applyBorder="1" applyAlignment="1">
      <alignment horizontal="right"/>
    </xf>
    <xf numFmtId="1" fontId="17" fillId="4" borderId="1" xfId="0" applyNumberFormat="1" applyFont="1" applyFill="1" applyBorder="1" applyAlignment="1">
      <alignment horizontal="center"/>
    </xf>
    <xf numFmtId="165" fontId="17" fillId="4" borderId="1" xfId="0" applyNumberFormat="1" applyFont="1" applyFill="1" applyBorder="1" applyAlignment="1">
      <alignment horizontal="right"/>
    </xf>
    <xf numFmtId="0" fontId="1" fillId="4" borderId="0" xfId="0" applyFont="1" applyFill="1"/>
    <xf numFmtId="165" fontId="1" fillId="4" borderId="0" xfId="0" applyNumberFormat="1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0B1F3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Quarterly Revenue Trend by Company ($M)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0B1F3A"/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'Market Data'!$B$11</c:f>
              <c:strCache>
                <c:ptCount val="1"/>
                <c:pt idx="0">
                  <c:v>Pinnacle Title</c:v>
                </c:pt>
              </c:strCache>
            </c:strRef>
          </c:tx>
          <c:spPr>
            <a:ln w="28575" cap="rnd">
              <a:solidFill>
                <a:srgbClr val="0B1F3A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'Market Data'!$A$12:$A$32</c:f>
              <c:strCache>
                <c:ptCount val="21"/>
                <c:pt idx="0">
                  <c:v>Q1-2021</c:v>
                </c:pt>
                <c:pt idx="1">
                  <c:v>Q2-2021</c:v>
                </c:pt>
                <c:pt idx="2">
                  <c:v>Q3-2021</c:v>
                </c:pt>
                <c:pt idx="3">
                  <c:v>Q4-2021</c:v>
                </c:pt>
                <c:pt idx="4">
                  <c:v>Q1-2022</c:v>
                </c:pt>
                <c:pt idx="5">
                  <c:v>Q2-2022</c:v>
                </c:pt>
                <c:pt idx="6">
                  <c:v>Q3-2022</c:v>
                </c:pt>
                <c:pt idx="7">
                  <c:v>Q4-2022</c:v>
                </c:pt>
                <c:pt idx="8">
                  <c:v>Q1-2023</c:v>
                </c:pt>
                <c:pt idx="9">
                  <c:v>Q2-2023</c:v>
                </c:pt>
                <c:pt idx="10">
                  <c:v>Q3-2023</c:v>
                </c:pt>
                <c:pt idx="11">
                  <c:v>Q4-2023</c:v>
                </c:pt>
                <c:pt idx="12">
                  <c:v>Q1-2024</c:v>
                </c:pt>
                <c:pt idx="13">
                  <c:v>Q2-2024</c:v>
                </c:pt>
                <c:pt idx="14">
                  <c:v>Q3-2024</c:v>
                </c:pt>
                <c:pt idx="15">
                  <c:v>Q4-2024</c:v>
                </c:pt>
                <c:pt idx="16">
                  <c:v>Q1-2025</c:v>
                </c:pt>
                <c:pt idx="17">
                  <c:v>Q2-2025</c:v>
                </c:pt>
                <c:pt idx="18">
                  <c:v>Q3-2025</c:v>
                </c:pt>
                <c:pt idx="19">
                  <c:v>Q4-2025</c:v>
                </c:pt>
                <c:pt idx="20">
                  <c:v>Q1-2026</c:v>
                </c:pt>
              </c:strCache>
            </c:strRef>
          </c:cat>
          <c:val>
            <c:numRef>
              <c:f>'Market Data'!$B$12:$B$32</c:f>
              <c:numCache>
                <c:formatCode>"Rs"#,##0</c:formatCode>
                <c:ptCount val="21"/>
                <c:pt idx="0">
                  <c:v>1050</c:v>
                </c:pt>
                <c:pt idx="1">
                  <c:v>1110</c:v>
                </c:pt>
                <c:pt idx="2">
                  <c:v>1175</c:v>
                </c:pt>
                <c:pt idx="3">
                  <c:v>1145</c:v>
                </c:pt>
                <c:pt idx="4">
                  <c:v>1190</c:v>
                </c:pt>
                <c:pt idx="5">
                  <c:v>1235</c:v>
                </c:pt>
                <c:pt idx="6">
                  <c:v>1265</c:v>
                </c:pt>
                <c:pt idx="7">
                  <c:v>1220</c:v>
                </c:pt>
                <c:pt idx="8">
                  <c:v>1255</c:v>
                </c:pt>
                <c:pt idx="9">
                  <c:v>1300</c:v>
                </c:pt>
                <c:pt idx="10">
                  <c:v>1335</c:v>
                </c:pt>
                <c:pt idx="11">
                  <c:v>1265</c:v>
                </c:pt>
                <c:pt idx="12">
                  <c:v>1280</c:v>
                </c:pt>
                <c:pt idx="13">
                  <c:v>1340</c:v>
                </c:pt>
                <c:pt idx="14">
                  <c:v>1395</c:v>
                </c:pt>
                <c:pt idx="15">
                  <c:v>1310</c:v>
                </c:pt>
                <c:pt idx="16">
                  <c:v>1350</c:v>
                </c:pt>
                <c:pt idx="17">
                  <c:v>1410</c:v>
                </c:pt>
                <c:pt idx="18">
                  <c:v>1465</c:v>
                </c:pt>
                <c:pt idx="19">
                  <c:v>1380</c:v>
                </c:pt>
                <c:pt idx="20">
                  <c:v>1430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13-4778-BCF6-A51F18A3B15E}"/>
            </c:ext>
          </c:extLst>
        </c:ser>
        <c:ser>
          <c:idx val="1"/>
          <c:order val="1"/>
          <c:tx>
            <c:strRef>
              <c:f>'Market Data'!$C$11</c:f>
              <c:strCache>
                <c:ptCount val="1"/>
                <c:pt idx="0">
                  <c:v>First American</c:v>
                </c:pt>
              </c:strCache>
            </c:strRef>
          </c:tx>
          <c:spPr>
            <a:ln w="28575" cap="rnd">
              <a:solidFill>
                <a:srgbClr val="D4AF37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'Market Data'!$A$12:$A$32</c:f>
              <c:strCache>
                <c:ptCount val="21"/>
                <c:pt idx="0">
                  <c:v>Q1-2021</c:v>
                </c:pt>
                <c:pt idx="1">
                  <c:v>Q2-2021</c:v>
                </c:pt>
                <c:pt idx="2">
                  <c:v>Q3-2021</c:v>
                </c:pt>
                <c:pt idx="3">
                  <c:v>Q4-2021</c:v>
                </c:pt>
                <c:pt idx="4">
                  <c:v>Q1-2022</c:v>
                </c:pt>
                <c:pt idx="5">
                  <c:v>Q2-2022</c:v>
                </c:pt>
                <c:pt idx="6">
                  <c:v>Q3-2022</c:v>
                </c:pt>
                <c:pt idx="7">
                  <c:v>Q4-2022</c:v>
                </c:pt>
                <c:pt idx="8">
                  <c:v>Q1-2023</c:v>
                </c:pt>
                <c:pt idx="9">
                  <c:v>Q2-2023</c:v>
                </c:pt>
                <c:pt idx="10">
                  <c:v>Q3-2023</c:v>
                </c:pt>
                <c:pt idx="11">
                  <c:v>Q4-2023</c:v>
                </c:pt>
                <c:pt idx="12">
                  <c:v>Q1-2024</c:v>
                </c:pt>
                <c:pt idx="13">
                  <c:v>Q2-2024</c:v>
                </c:pt>
                <c:pt idx="14">
                  <c:v>Q3-2024</c:v>
                </c:pt>
                <c:pt idx="15">
                  <c:v>Q4-2024</c:v>
                </c:pt>
                <c:pt idx="16">
                  <c:v>Q1-2025</c:v>
                </c:pt>
                <c:pt idx="17">
                  <c:v>Q2-2025</c:v>
                </c:pt>
                <c:pt idx="18">
                  <c:v>Q3-2025</c:v>
                </c:pt>
                <c:pt idx="19">
                  <c:v>Q4-2025</c:v>
                </c:pt>
                <c:pt idx="20">
                  <c:v>Q1-2026</c:v>
                </c:pt>
              </c:strCache>
            </c:strRef>
          </c:cat>
          <c:val>
            <c:numRef>
              <c:f>'Market Data'!$C$12:$C$32</c:f>
              <c:numCache>
                <c:formatCode>"Rs"#,##0</c:formatCode>
                <c:ptCount val="21"/>
                <c:pt idx="0">
                  <c:v>820</c:v>
                </c:pt>
                <c:pt idx="1">
                  <c:v>855</c:v>
                </c:pt>
                <c:pt idx="2">
                  <c:v>895</c:v>
                </c:pt>
                <c:pt idx="3">
                  <c:v>880</c:v>
                </c:pt>
                <c:pt idx="4">
                  <c:v>905</c:v>
                </c:pt>
                <c:pt idx="5">
                  <c:v>935</c:v>
                </c:pt>
                <c:pt idx="6">
                  <c:v>955</c:v>
                </c:pt>
                <c:pt idx="7">
                  <c:v>925</c:v>
                </c:pt>
                <c:pt idx="8">
                  <c:v>940</c:v>
                </c:pt>
                <c:pt idx="9">
                  <c:v>960</c:v>
                </c:pt>
                <c:pt idx="10">
                  <c:v>985</c:v>
                </c:pt>
                <c:pt idx="11">
                  <c:v>955</c:v>
                </c:pt>
                <c:pt idx="12">
                  <c:v>945</c:v>
                </c:pt>
                <c:pt idx="13">
                  <c:v>970</c:v>
                </c:pt>
                <c:pt idx="14">
                  <c:v>1010</c:v>
                </c:pt>
                <c:pt idx="15">
                  <c:v>985</c:v>
                </c:pt>
                <c:pt idx="16">
                  <c:v>980</c:v>
                </c:pt>
                <c:pt idx="17">
                  <c:v>1015</c:v>
                </c:pt>
                <c:pt idx="18">
                  <c:v>1050</c:v>
                </c:pt>
                <c:pt idx="19">
                  <c:v>1025</c:v>
                </c:pt>
                <c:pt idx="20">
                  <c:v>1050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13-4778-BCF6-A51F18A3B15E}"/>
            </c:ext>
          </c:extLst>
        </c:ser>
        <c:ser>
          <c:idx val="2"/>
          <c:order val="2"/>
          <c:tx>
            <c:strRef>
              <c:f>'Market Data'!$D$11</c:f>
              <c:strCache>
                <c:ptCount val="1"/>
                <c:pt idx="0">
                  <c:v>Old Republic</c:v>
                </c:pt>
              </c:strCache>
            </c:strRef>
          </c:tx>
          <c:spPr>
            <a:ln w="28575" cap="rnd">
              <a:solidFill>
                <a:srgbClr val="5A8FBF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'Market Data'!$A$12:$A$32</c:f>
              <c:strCache>
                <c:ptCount val="21"/>
                <c:pt idx="0">
                  <c:v>Q1-2021</c:v>
                </c:pt>
                <c:pt idx="1">
                  <c:v>Q2-2021</c:v>
                </c:pt>
                <c:pt idx="2">
                  <c:v>Q3-2021</c:v>
                </c:pt>
                <c:pt idx="3">
                  <c:v>Q4-2021</c:v>
                </c:pt>
                <c:pt idx="4">
                  <c:v>Q1-2022</c:v>
                </c:pt>
                <c:pt idx="5">
                  <c:v>Q2-2022</c:v>
                </c:pt>
                <c:pt idx="6">
                  <c:v>Q3-2022</c:v>
                </c:pt>
                <c:pt idx="7">
                  <c:v>Q4-2022</c:v>
                </c:pt>
                <c:pt idx="8">
                  <c:v>Q1-2023</c:v>
                </c:pt>
                <c:pt idx="9">
                  <c:v>Q2-2023</c:v>
                </c:pt>
                <c:pt idx="10">
                  <c:v>Q3-2023</c:v>
                </c:pt>
                <c:pt idx="11">
                  <c:v>Q4-2023</c:v>
                </c:pt>
                <c:pt idx="12">
                  <c:v>Q1-2024</c:v>
                </c:pt>
                <c:pt idx="13">
                  <c:v>Q2-2024</c:v>
                </c:pt>
                <c:pt idx="14">
                  <c:v>Q3-2024</c:v>
                </c:pt>
                <c:pt idx="15">
                  <c:v>Q4-2024</c:v>
                </c:pt>
                <c:pt idx="16">
                  <c:v>Q1-2025</c:v>
                </c:pt>
                <c:pt idx="17">
                  <c:v>Q2-2025</c:v>
                </c:pt>
                <c:pt idx="18">
                  <c:v>Q3-2025</c:v>
                </c:pt>
                <c:pt idx="19">
                  <c:v>Q4-2025</c:v>
                </c:pt>
                <c:pt idx="20">
                  <c:v>Q1-2026</c:v>
                </c:pt>
              </c:strCache>
            </c:strRef>
          </c:cat>
          <c:val>
            <c:numRef>
              <c:f>'Market Data'!$D$12:$D$32</c:f>
              <c:numCache>
                <c:formatCode>"Rs"#,##0</c:formatCode>
                <c:ptCount val="21"/>
                <c:pt idx="0">
                  <c:v>520</c:v>
                </c:pt>
                <c:pt idx="1">
                  <c:v>540</c:v>
                </c:pt>
                <c:pt idx="2">
                  <c:v>565</c:v>
                </c:pt>
                <c:pt idx="3">
                  <c:v>555</c:v>
                </c:pt>
                <c:pt idx="4">
                  <c:v>575</c:v>
                </c:pt>
                <c:pt idx="5">
                  <c:v>590</c:v>
                </c:pt>
                <c:pt idx="6">
                  <c:v>605</c:v>
                </c:pt>
                <c:pt idx="7">
                  <c:v>585</c:v>
                </c:pt>
                <c:pt idx="8">
                  <c:v>600</c:v>
                </c:pt>
                <c:pt idx="9">
                  <c:v>615</c:v>
                </c:pt>
                <c:pt idx="10">
                  <c:v>625</c:v>
                </c:pt>
                <c:pt idx="11">
                  <c:v>605</c:v>
                </c:pt>
                <c:pt idx="12">
                  <c:v>610</c:v>
                </c:pt>
                <c:pt idx="13">
                  <c:v>625</c:v>
                </c:pt>
                <c:pt idx="14">
                  <c:v>640</c:v>
                </c:pt>
                <c:pt idx="15">
                  <c:v>615</c:v>
                </c:pt>
                <c:pt idx="16">
                  <c:v>630</c:v>
                </c:pt>
                <c:pt idx="17">
                  <c:v>650</c:v>
                </c:pt>
                <c:pt idx="18">
                  <c:v>665</c:v>
                </c:pt>
                <c:pt idx="19">
                  <c:v>640</c:v>
                </c:pt>
                <c:pt idx="20">
                  <c:v>660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13-4778-BCF6-A51F18A3B15E}"/>
            </c:ext>
          </c:extLst>
        </c:ser>
        <c:ser>
          <c:idx val="3"/>
          <c:order val="3"/>
          <c:tx>
            <c:strRef>
              <c:f>'Market Data'!$E$11</c:f>
              <c:strCache>
                <c:ptCount val="1"/>
                <c:pt idx="0">
                  <c:v>Stewart</c:v>
                </c:pt>
              </c:strCache>
            </c:strRef>
          </c:tx>
          <c:spPr>
            <a:ln w="28575" cap="rnd">
              <a:solidFill>
                <a:srgbClr val="7A6F4F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'Market Data'!$A$12:$A$32</c:f>
              <c:strCache>
                <c:ptCount val="21"/>
                <c:pt idx="0">
                  <c:v>Q1-2021</c:v>
                </c:pt>
                <c:pt idx="1">
                  <c:v>Q2-2021</c:v>
                </c:pt>
                <c:pt idx="2">
                  <c:v>Q3-2021</c:v>
                </c:pt>
                <c:pt idx="3">
                  <c:v>Q4-2021</c:v>
                </c:pt>
                <c:pt idx="4">
                  <c:v>Q1-2022</c:v>
                </c:pt>
                <c:pt idx="5">
                  <c:v>Q2-2022</c:v>
                </c:pt>
                <c:pt idx="6">
                  <c:v>Q3-2022</c:v>
                </c:pt>
                <c:pt idx="7">
                  <c:v>Q4-2022</c:v>
                </c:pt>
                <c:pt idx="8">
                  <c:v>Q1-2023</c:v>
                </c:pt>
                <c:pt idx="9">
                  <c:v>Q2-2023</c:v>
                </c:pt>
                <c:pt idx="10">
                  <c:v>Q3-2023</c:v>
                </c:pt>
                <c:pt idx="11">
                  <c:v>Q4-2023</c:v>
                </c:pt>
                <c:pt idx="12">
                  <c:v>Q1-2024</c:v>
                </c:pt>
                <c:pt idx="13">
                  <c:v>Q2-2024</c:v>
                </c:pt>
                <c:pt idx="14">
                  <c:v>Q3-2024</c:v>
                </c:pt>
                <c:pt idx="15">
                  <c:v>Q4-2024</c:v>
                </c:pt>
                <c:pt idx="16">
                  <c:v>Q1-2025</c:v>
                </c:pt>
                <c:pt idx="17">
                  <c:v>Q2-2025</c:v>
                </c:pt>
                <c:pt idx="18">
                  <c:v>Q3-2025</c:v>
                </c:pt>
                <c:pt idx="19">
                  <c:v>Q4-2025</c:v>
                </c:pt>
                <c:pt idx="20">
                  <c:v>Q1-2026</c:v>
                </c:pt>
              </c:strCache>
            </c:strRef>
          </c:cat>
          <c:val>
            <c:numRef>
              <c:f>'Market Data'!$E$12:$E$32</c:f>
              <c:numCache>
                <c:formatCode>"Rs"#,##0</c:formatCode>
                <c:ptCount val="21"/>
                <c:pt idx="0">
                  <c:v>365</c:v>
                </c:pt>
                <c:pt idx="1">
                  <c:v>380</c:v>
                </c:pt>
                <c:pt idx="2">
                  <c:v>395</c:v>
                </c:pt>
                <c:pt idx="3">
                  <c:v>390</c:v>
                </c:pt>
                <c:pt idx="4">
                  <c:v>400</c:v>
                </c:pt>
                <c:pt idx="5">
                  <c:v>415</c:v>
                </c:pt>
                <c:pt idx="6">
                  <c:v>425</c:v>
                </c:pt>
                <c:pt idx="7">
                  <c:v>415</c:v>
                </c:pt>
                <c:pt idx="8">
                  <c:v>425</c:v>
                </c:pt>
                <c:pt idx="9">
                  <c:v>440</c:v>
                </c:pt>
                <c:pt idx="10">
                  <c:v>450</c:v>
                </c:pt>
                <c:pt idx="11">
                  <c:v>435</c:v>
                </c:pt>
                <c:pt idx="12">
                  <c:v>435</c:v>
                </c:pt>
                <c:pt idx="13">
                  <c:v>450</c:v>
                </c:pt>
                <c:pt idx="14">
                  <c:v>470</c:v>
                </c:pt>
                <c:pt idx="15">
                  <c:v>460</c:v>
                </c:pt>
                <c:pt idx="16">
                  <c:v>450</c:v>
                </c:pt>
                <c:pt idx="17">
                  <c:v>470</c:v>
                </c:pt>
                <c:pt idx="18">
                  <c:v>490</c:v>
                </c:pt>
                <c:pt idx="19">
                  <c:v>475</c:v>
                </c:pt>
                <c:pt idx="20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13-4778-BCF6-A51F18A3B15E}"/>
            </c:ext>
          </c:extLst>
        </c:ser>
        <c:ser>
          <c:idx val="4"/>
          <c:order val="4"/>
          <c:tx>
            <c:strRef>
              <c:f>'Market Data'!$F$11</c:f>
              <c:strCache>
                <c:ptCount val="1"/>
                <c:pt idx="0">
                  <c:v>Westfield</c:v>
                </c:pt>
              </c:strCache>
            </c:strRef>
          </c:tx>
          <c:spPr>
            <a:ln w="28575" cap="rnd">
              <a:solidFill>
                <a:srgbClr val="A6515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'Market Data'!$A$12:$A$32</c:f>
              <c:strCache>
                <c:ptCount val="21"/>
                <c:pt idx="0">
                  <c:v>Q1-2021</c:v>
                </c:pt>
                <c:pt idx="1">
                  <c:v>Q2-2021</c:v>
                </c:pt>
                <c:pt idx="2">
                  <c:v>Q3-2021</c:v>
                </c:pt>
                <c:pt idx="3">
                  <c:v>Q4-2021</c:v>
                </c:pt>
                <c:pt idx="4">
                  <c:v>Q1-2022</c:v>
                </c:pt>
                <c:pt idx="5">
                  <c:v>Q2-2022</c:v>
                </c:pt>
                <c:pt idx="6">
                  <c:v>Q3-2022</c:v>
                </c:pt>
                <c:pt idx="7">
                  <c:v>Q4-2022</c:v>
                </c:pt>
                <c:pt idx="8">
                  <c:v>Q1-2023</c:v>
                </c:pt>
                <c:pt idx="9">
                  <c:v>Q2-2023</c:v>
                </c:pt>
                <c:pt idx="10">
                  <c:v>Q3-2023</c:v>
                </c:pt>
                <c:pt idx="11">
                  <c:v>Q4-2023</c:v>
                </c:pt>
                <c:pt idx="12">
                  <c:v>Q1-2024</c:v>
                </c:pt>
                <c:pt idx="13">
                  <c:v>Q2-2024</c:v>
                </c:pt>
                <c:pt idx="14">
                  <c:v>Q3-2024</c:v>
                </c:pt>
                <c:pt idx="15">
                  <c:v>Q4-2024</c:v>
                </c:pt>
                <c:pt idx="16">
                  <c:v>Q1-2025</c:v>
                </c:pt>
                <c:pt idx="17">
                  <c:v>Q2-2025</c:v>
                </c:pt>
                <c:pt idx="18">
                  <c:v>Q3-2025</c:v>
                </c:pt>
                <c:pt idx="19">
                  <c:v>Q4-2025</c:v>
                </c:pt>
                <c:pt idx="20">
                  <c:v>Q1-2026</c:v>
                </c:pt>
              </c:strCache>
            </c:strRef>
          </c:cat>
          <c:val>
            <c:numRef>
              <c:f>'Market Data'!$F$12:$F$32</c:f>
              <c:numCache>
                <c:formatCode>"Rs"#,##0</c:formatCode>
                <c:ptCount val="21"/>
                <c:pt idx="0">
                  <c:v>145</c:v>
                </c:pt>
                <c:pt idx="1">
                  <c:v>152</c:v>
                </c:pt>
                <c:pt idx="2">
                  <c:v>160</c:v>
                </c:pt>
                <c:pt idx="3">
                  <c:v>165</c:v>
                </c:pt>
                <c:pt idx="4">
                  <c:v>172</c:v>
                </c:pt>
                <c:pt idx="5">
                  <c:v>180</c:v>
                </c:pt>
                <c:pt idx="6">
                  <c:v>188</c:v>
                </c:pt>
                <c:pt idx="7">
                  <c:v>185</c:v>
                </c:pt>
                <c:pt idx="8">
                  <c:v>195</c:v>
                </c:pt>
                <c:pt idx="9">
                  <c:v>205</c:v>
                </c:pt>
                <c:pt idx="10">
                  <c:v>215</c:v>
                </c:pt>
                <c:pt idx="11">
                  <c:v>210</c:v>
                </c:pt>
                <c:pt idx="12">
                  <c:v>218</c:v>
                </c:pt>
                <c:pt idx="13">
                  <c:v>228</c:v>
                </c:pt>
                <c:pt idx="14">
                  <c:v>240</c:v>
                </c:pt>
                <c:pt idx="15">
                  <c:v>235</c:v>
                </c:pt>
                <c:pt idx="16">
                  <c:v>245</c:v>
                </c:pt>
                <c:pt idx="17">
                  <c:v>258</c:v>
                </c:pt>
                <c:pt idx="18">
                  <c:v>270</c:v>
                </c:pt>
                <c:pt idx="19">
                  <c:v>265</c:v>
                </c:pt>
                <c:pt idx="20">
                  <c:v>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13-4778-BCF6-A51F18A3B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894159"/>
        <c:axId val="190889839"/>
      </c:lineChart>
      <c:catAx>
        <c:axId val="19089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90889839"/>
        <c:crosses val="autoZero"/>
        <c:auto val="1"/>
        <c:lblAlgn val="ctr"/>
        <c:lblOffset val="100"/>
        <c:noMultiLvlLbl val="0"/>
      </c:catAx>
      <c:valAx>
        <c:axId val="19088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s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90894159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B1F3A"/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0B1F3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 Share — Q1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0B1F3A"/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B1F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29-4612-850E-BDB2C4AF28D6}"/>
              </c:ext>
            </c:extLst>
          </c:dPt>
          <c:dPt>
            <c:idx val="1"/>
            <c:bubble3D val="0"/>
            <c:spPr>
              <a:solidFill>
                <a:srgbClr val="D4AF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229-4612-850E-BDB2C4AF28D6}"/>
              </c:ext>
            </c:extLst>
          </c:dPt>
          <c:dPt>
            <c:idx val="2"/>
            <c:bubble3D val="0"/>
            <c:spPr>
              <a:solidFill>
                <a:srgbClr val="5A8FB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29-4612-850E-BDB2C4AF28D6}"/>
              </c:ext>
            </c:extLst>
          </c:dPt>
          <c:dPt>
            <c:idx val="3"/>
            <c:bubble3D val="0"/>
            <c:spPr>
              <a:solidFill>
                <a:srgbClr val="7A6F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229-4612-850E-BDB2C4AF28D6}"/>
              </c:ext>
            </c:extLst>
          </c:dPt>
          <c:dPt>
            <c:idx val="4"/>
            <c:bubble3D val="0"/>
            <c:spPr>
              <a:solidFill>
                <a:srgbClr val="A6515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229-4612-850E-BDB2C4AF28D6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'Market Data'!$G$36:$G$40</c:f>
              <c:strCache>
                <c:ptCount val="5"/>
                <c:pt idx="0">
                  <c:v>Pinnacle Title</c:v>
                </c:pt>
                <c:pt idx="1">
                  <c:v>First American</c:v>
                </c:pt>
                <c:pt idx="2">
                  <c:v>Old Republic</c:v>
                </c:pt>
                <c:pt idx="3">
                  <c:v>Stewart</c:v>
                </c:pt>
                <c:pt idx="4">
                  <c:v>Westfield</c:v>
                </c:pt>
              </c:strCache>
            </c:strRef>
          </c:cat>
          <c:val>
            <c:numRef>
              <c:f>'Market Data'!$H$36:$H$40</c:f>
              <c:numCache>
                <c:formatCode>0.0%</c:formatCode>
                <c:ptCount val="5"/>
                <c:pt idx="0">
                  <c:v>0.36685479733196513</c:v>
                </c:pt>
                <c:pt idx="1">
                  <c:v>0.26936890713186251</c:v>
                </c:pt>
                <c:pt idx="2">
                  <c:v>0.16931759876859928</c:v>
                </c:pt>
                <c:pt idx="3">
                  <c:v>0.12314007183170857</c:v>
                </c:pt>
                <c:pt idx="4">
                  <c:v>7.131862493586455E-2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29-4612-850E-BDB2C4AF2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solidFill>
          <a:srgbClr val="FFFFFF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B1F3A"/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0B1F3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YoY Growth by Company (Q1’26 vs Q1’25)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0B1F3A"/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'Market Data'!$K$36</c:f>
              <c:strCache>
                <c:ptCount val="1"/>
                <c:pt idx="0">
                  <c:v>Growth</c:v>
                </c:pt>
              </c:strCache>
            </c:strRef>
          </c:tx>
          <c:spPr>
            <a:solidFill>
              <a:srgbClr val="0B1F3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D4AF3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B46-4C79-9094-839C8DD8509C}"/>
              </c:ext>
            </c:extLst>
          </c:dPt>
          <c:dPt>
            <c:idx val="2"/>
            <c:invertIfNegative val="0"/>
            <c:bubble3D val="0"/>
            <c:spPr>
              <a:solidFill>
                <a:srgbClr val="5A8FB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B46-4C79-9094-839C8DD8509C}"/>
              </c:ext>
            </c:extLst>
          </c:dPt>
          <c:dPt>
            <c:idx val="3"/>
            <c:invertIfNegative val="0"/>
            <c:bubble3D val="0"/>
            <c:spPr>
              <a:solidFill>
                <a:srgbClr val="7A6F4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B46-4C79-9094-839C8DD8509C}"/>
              </c:ext>
            </c:extLst>
          </c:dPt>
          <c:dPt>
            <c:idx val="4"/>
            <c:invertIfNegative val="0"/>
            <c:bubble3D val="0"/>
            <c:spPr>
              <a:solidFill>
                <a:srgbClr val="A6515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B46-4C79-9094-839C8DD8509C}"/>
              </c:ext>
            </c:extLst>
          </c:dPt>
          <c:dLbls>
            <c:numFmt formatCode="\+0.0%;\-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B1F3A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'Market Data'!$J$37:$J$41</c:f>
              <c:strCache>
                <c:ptCount val="5"/>
                <c:pt idx="0">
                  <c:v>Pinnacle Title</c:v>
                </c:pt>
                <c:pt idx="1">
                  <c:v>First American</c:v>
                </c:pt>
                <c:pt idx="2">
                  <c:v>Old Republic</c:v>
                </c:pt>
                <c:pt idx="3">
                  <c:v>Stewart</c:v>
                </c:pt>
                <c:pt idx="4">
                  <c:v>Westfield</c:v>
                </c:pt>
              </c:strCache>
            </c:strRef>
          </c:cat>
          <c:val>
            <c:numRef>
              <c:f>'Market Data'!$K$37:$K$41</c:f>
              <c:numCache>
                <c:formatCode>0.0%</c:formatCode>
                <c:ptCount val="5"/>
                <c:pt idx="0">
                  <c:v>5.9259259259259262E-2</c:v>
                </c:pt>
                <c:pt idx="1">
                  <c:v>7.1428571428571425E-2</c:v>
                </c:pt>
                <c:pt idx="2">
                  <c:v>4.7619047619047616E-2</c:v>
                </c:pt>
                <c:pt idx="3">
                  <c:v>6.6666666666666666E-2</c:v>
                </c:pt>
                <c:pt idx="4">
                  <c:v>0.13469387755102041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46-4C79-9094-839C8DD85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890799"/>
        <c:axId val="190893199"/>
      </c:barChart>
      <c:catAx>
        <c:axId val="190890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90893199"/>
        <c:crosses val="autoZero"/>
        <c:auto val="1"/>
        <c:lblAlgn val="ctr"/>
        <c:lblOffset val="100"/>
        <c:noMultiLvlLbl val="0"/>
      </c:catAx>
      <c:valAx>
        <c:axId val="190893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90890799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17</xdr:col>
      <xdr:colOff>0</xdr:colOff>
      <xdr:row>19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B93339-85C5-58C4-E3B0-53DC2F6F93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20</xdr:row>
      <xdr:rowOff>0</xdr:rowOff>
    </xdr:from>
    <xdr:to>
      <xdr:col>17</xdr:col>
      <xdr:colOff>0</xdr:colOff>
      <xdr:row>34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DE638D-DF3A-B321-72AE-75DC66A99E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8</xdr:col>
      <xdr:colOff>0</xdr:colOff>
      <xdr:row>58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969C844-55C4-96B0-0A74-4E049EB1EB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1AC1376-B350-4FA1-A0F7-307E84C07DDE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21bd7486-97f7-4969-b59c-8038c4dd994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A68"/>
  </sheetPr>
  <dimension ref="A1:Z60"/>
  <sheetViews>
    <sheetView tabSelected="1" workbookViewId="0">
      <selection activeCell="B18" sqref="B18"/>
    </sheetView>
  </sheetViews>
  <sheetFormatPr defaultRowHeight="15" x14ac:dyDescent="0.25"/>
  <cols>
    <col min="1" max="1" width="51.42578125" bestFit="1" customWidth="1"/>
    <col min="2" max="4" width="24.7109375" customWidth="1"/>
    <col min="5" max="5" width="15.28515625" bestFit="1" customWidth="1"/>
    <col min="6" max="8" width="24.7109375" customWidth="1"/>
    <col min="9" max="9" width="3.85546875" customWidth="1"/>
    <col min="10" max="17" width="15.28515625" customWidth="1"/>
  </cols>
  <sheetData>
    <row r="1" spans="1:26" ht="42" customHeight="1" x14ac:dyDescent="0.4">
      <c r="A1" s="1" t="s">
        <v>16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1.95" customHeight="1" x14ac:dyDescent="0.25">
      <c r="A2" s="3" t="s">
        <v>17</v>
      </c>
      <c r="B2" s="3"/>
      <c r="C2" s="3"/>
      <c r="D2" s="3"/>
      <c r="E2" s="3"/>
      <c r="F2" s="3"/>
      <c r="G2" s="3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8.1" customHeight="1" x14ac:dyDescent="0.25">
      <c r="A3" s="4"/>
      <c r="B3" s="4"/>
      <c r="C3" s="4"/>
      <c r="D3" s="4"/>
      <c r="E3" s="4"/>
      <c r="F3" s="4"/>
      <c r="G3" s="4"/>
      <c r="H3" s="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1.95" customHeight="1" x14ac:dyDescent="0.25">
      <c r="A4" s="5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7" t="s">
        <v>25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2.1" customHeight="1" x14ac:dyDescent="0.35">
      <c r="A5" s="8"/>
      <c r="B5" s="9">
        <f>G32</f>
        <v>3898</v>
      </c>
      <c r="C5" s="10" t="s">
        <v>27</v>
      </c>
      <c r="D5" s="11">
        <f>(G32-G28)/G28</f>
        <v>6.6484268125854992E-2</v>
      </c>
      <c r="E5" s="10" t="s">
        <v>28</v>
      </c>
      <c r="F5" s="12">
        <f>(B32+C32+D32+E32)/G32</f>
        <v>0.92868137506413551</v>
      </c>
      <c r="G5" s="10" t="str">
        <f>INDEX(A12:A32,MATCH(MAX(G12:G32),G12:G32,0))</f>
        <v>Q3-2025</v>
      </c>
      <c r="H5" s="13">
        <f>(G32-G28)/G28</f>
        <v>6.6484268125854992E-2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" customHeight="1" x14ac:dyDescent="0.25">
      <c r="A6" s="8"/>
      <c r="B6" s="14" t="s">
        <v>43</v>
      </c>
      <c r="C6" s="14" t="str">
        <f>"$"&amp;TEXT(B32,"#,##0")&amp;"M revenue"</f>
        <v>$1,430M revenue</v>
      </c>
      <c r="D6" s="14" t="s">
        <v>44</v>
      </c>
      <c r="E6" s="15" t="str">
        <f>"+"&amp;TEXT((F32-F28)/F28,"0.0%")&amp;" YoY"</f>
        <v>+13.5% YoY</v>
      </c>
      <c r="F6" s="14" t="s">
        <v>45</v>
      </c>
      <c r="G6" s="14" t="str">
        <f>"$"&amp;TEXT(MAX(G12:G32),"#,##0")&amp;"M industry peak"</f>
        <v>$3,940M industry peak</v>
      </c>
      <c r="H6" s="16" t="s">
        <v>46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8.1" customHeight="1" x14ac:dyDescent="0.25">
      <c r="A7" s="8"/>
      <c r="B7" s="8"/>
      <c r="C7" s="8"/>
      <c r="D7" s="8"/>
      <c r="E7" s="8"/>
      <c r="F7" s="8"/>
      <c r="G7" s="8"/>
      <c r="H7" s="8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1" customHeight="1" x14ac:dyDescent="0.25">
      <c r="A8" s="8"/>
      <c r="B8" s="8"/>
      <c r="C8" s="8"/>
      <c r="D8" s="8"/>
      <c r="E8" s="8"/>
      <c r="F8" s="8"/>
      <c r="G8" s="8"/>
      <c r="H8" s="8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8.1" customHeight="1" x14ac:dyDescent="0.25">
      <c r="A9" s="17"/>
      <c r="B9" s="17"/>
      <c r="C9" s="17"/>
      <c r="D9" s="17"/>
      <c r="E9" s="17"/>
      <c r="F9" s="17"/>
      <c r="G9" s="17"/>
      <c r="H9" s="17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4" customHeight="1" x14ac:dyDescent="0.3">
      <c r="A10" s="18" t="s">
        <v>26</v>
      </c>
      <c r="B10" s="8"/>
      <c r="C10" s="8"/>
      <c r="D10" s="8"/>
      <c r="E10" s="8"/>
      <c r="F10" s="8"/>
      <c r="G10" s="8"/>
      <c r="H10" s="8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6.1" customHeight="1" x14ac:dyDescent="0.25">
      <c r="A11" s="19" t="s">
        <v>0</v>
      </c>
      <c r="B11" s="19" t="s">
        <v>27</v>
      </c>
      <c r="C11" s="19" t="s">
        <v>13</v>
      </c>
      <c r="D11" s="19" t="s">
        <v>14</v>
      </c>
      <c r="E11" s="19" t="s">
        <v>15</v>
      </c>
      <c r="F11" s="19" t="s">
        <v>28</v>
      </c>
      <c r="G11" s="19" t="s">
        <v>29</v>
      </c>
      <c r="H11" s="19" t="s">
        <v>30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0.100000000000001" customHeight="1" x14ac:dyDescent="0.25">
      <c r="A12" s="20" t="s">
        <v>31</v>
      </c>
      <c r="B12" s="21">
        <v>1050</v>
      </c>
      <c r="C12" s="21">
        <v>820</v>
      </c>
      <c r="D12" s="21">
        <v>520</v>
      </c>
      <c r="E12" s="21">
        <v>365</v>
      </c>
      <c r="F12" s="21">
        <v>145</v>
      </c>
      <c r="G12" s="22">
        <f>SUM(B12:F12)</f>
        <v>2900</v>
      </c>
      <c r="H12" s="23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x14ac:dyDescent="0.25">
      <c r="A13" s="24" t="s">
        <v>32</v>
      </c>
      <c r="B13" s="25">
        <v>1110</v>
      </c>
      <c r="C13" s="25">
        <v>855</v>
      </c>
      <c r="D13" s="25">
        <v>540</v>
      </c>
      <c r="E13" s="25">
        <v>380</v>
      </c>
      <c r="F13" s="25">
        <v>152</v>
      </c>
      <c r="G13" s="26">
        <f t="shared" ref="G13:G32" si="0">SUM(B13:F13)</f>
        <v>3037</v>
      </c>
      <c r="H13" s="27">
        <f>(G13-G12)/G12</f>
        <v>4.7241379310344826E-2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0.100000000000001" customHeight="1" x14ac:dyDescent="0.25">
      <c r="A14" s="20" t="s">
        <v>33</v>
      </c>
      <c r="B14" s="21">
        <v>1175</v>
      </c>
      <c r="C14" s="21">
        <v>895</v>
      </c>
      <c r="D14" s="21">
        <v>565</v>
      </c>
      <c r="E14" s="21">
        <v>395</v>
      </c>
      <c r="F14" s="21">
        <v>160</v>
      </c>
      <c r="G14" s="22">
        <f t="shared" si="0"/>
        <v>3190</v>
      </c>
      <c r="H14" s="23">
        <f t="shared" ref="H14:H32" si="1">(G14-G13)/G13</f>
        <v>5.037866315442871E-2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0.100000000000001" customHeight="1" x14ac:dyDescent="0.25">
      <c r="A15" s="24" t="s">
        <v>34</v>
      </c>
      <c r="B15" s="25">
        <v>1145</v>
      </c>
      <c r="C15" s="25">
        <v>880</v>
      </c>
      <c r="D15" s="25">
        <v>555</v>
      </c>
      <c r="E15" s="25">
        <v>390</v>
      </c>
      <c r="F15" s="25">
        <v>165</v>
      </c>
      <c r="G15" s="26">
        <f t="shared" si="0"/>
        <v>3135</v>
      </c>
      <c r="H15" s="27">
        <f t="shared" si="1"/>
        <v>-1.7241379310344827E-2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0.100000000000001" customHeight="1" x14ac:dyDescent="0.25">
      <c r="A16" s="20" t="s">
        <v>35</v>
      </c>
      <c r="B16" s="21">
        <v>1190</v>
      </c>
      <c r="C16" s="21">
        <v>905</v>
      </c>
      <c r="D16" s="21">
        <v>575</v>
      </c>
      <c r="E16" s="21">
        <v>400</v>
      </c>
      <c r="F16" s="21">
        <v>172</v>
      </c>
      <c r="G16" s="22">
        <f t="shared" si="0"/>
        <v>3242</v>
      </c>
      <c r="H16" s="23">
        <f t="shared" si="1"/>
        <v>3.4130781499202553E-2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0.100000000000001" customHeight="1" x14ac:dyDescent="0.25">
      <c r="A17" s="24" t="s">
        <v>36</v>
      </c>
      <c r="B17" s="25">
        <v>1235</v>
      </c>
      <c r="C17" s="25">
        <v>935</v>
      </c>
      <c r="D17" s="25">
        <v>590</v>
      </c>
      <c r="E17" s="25">
        <v>415</v>
      </c>
      <c r="F17" s="25">
        <v>180</v>
      </c>
      <c r="G17" s="26">
        <f t="shared" si="0"/>
        <v>3355</v>
      </c>
      <c r="H17" s="27">
        <f t="shared" si="1"/>
        <v>3.4855027760641581E-2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0.100000000000001" customHeight="1" x14ac:dyDescent="0.25">
      <c r="A18" s="20" t="s">
        <v>37</v>
      </c>
      <c r="B18" s="21">
        <v>1265</v>
      </c>
      <c r="C18" s="21">
        <v>955</v>
      </c>
      <c r="D18" s="21">
        <v>605</v>
      </c>
      <c r="E18" s="21">
        <v>425</v>
      </c>
      <c r="F18" s="21">
        <v>188</v>
      </c>
      <c r="G18" s="22">
        <f t="shared" si="0"/>
        <v>3438</v>
      </c>
      <c r="H18" s="23">
        <f t="shared" si="1"/>
        <v>2.4739195230998511E-2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0.100000000000001" customHeight="1" x14ac:dyDescent="0.25">
      <c r="A19" s="24" t="s">
        <v>38</v>
      </c>
      <c r="B19" s="25">
        <v>1220</v>
      </c>
      <c r="C19" s="25">
        <v>925</v>
      </c>
      <c r="D19" s="25">
        <v>585</v>
      </c>
      <c r="E19" s="25">
        <v>415</v>
      </c>
      <c r="F19" s="25">
        <v>185</v>
      </c>
      <c r="G19" s="26">
        <f t="shared" si="0"/>
        <v>3330</v>
      </c>
      <c r="H19" s="27">
        <f t="shared" si="1"/>
        <v>-3.1413612565445025E-2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0.100000000000001" customHeight="1" x14ac:dyDescent="0.25">
      <c r="A20" s="20" t="s">
        <v>39</v>
      </c>
      <c r="B20" s="21">
        <v>1255</v>
      </c>
      <c r="C20" s="21">
        <v>940</v>
      </c>
      <c r="D20" s="21">
        <v>600</v>
      </c>
      <c r="E20" s="21">
        <v>425</v>
      </c>
      <c r="F20" s="21">
        <v>195</v>
      </c>
      <c r="G20" s="22">
        <f t="shared" si="0"/>
        <v>3415</v>
      </c>
      <c r="H20" s="23">
        <f t="shared" si="1"/>
        <v>2.5525525525525526E-2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0.100000000000001" customHeight="1" x14ac:dyDescent="0.25">
      <c r="A21" s="24" t="s">
        <v>40</v>
      </c>
      <c r="B21" s="25">
        <v>1300</v>
      </c>
      <c r="C21" s="25">
        <v>960</v>
      </c>
      <c r="D21" s="25">
        <v>615</v>
      </c>
      <c r="E21" s="25">
        <v>440</v>
      </c>
      <c r="F21" s="25">
        <v>205</v>
      </c>
      <c r="G21" s="26">
        <f t="shared" si="0"/>
        <v>3520</v>
      </c>
      <c r="H21" s="27">
        <f t="shared" si="1"/>
        <v>3.074670571010249E-2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0.100000000000001" customHeight="1" x14ac:dyDescent="0.25">
      <c r="A22" s="20" t="s">
        <v>41</v>
      </c>
      <c r="B22" s="21">
        <v>1335</v>
      </c>
      <c r="C22" s="21">
        <v>985</v>
      </c>
      <c r="D22" s="21">
        <v>625</v>
      </c>
      <c r="E22" s="21">
        <v>450</v>
      </c>
      <c r="F22" s="21">
        <v>215</v>
      </c>
      <c r="G22" s="22">
        <f t="shared" si="0"/>
        <v>3610</v>
      </c>
      <c r="H22" s="23">
        <f t="shared" si="1"/>
        <v>2.556818181818182E-2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0.100000000000001" customHeight="1" x14ac:dyDescent="0.25">
      <c r="A23" s="24" t="s">
        <v>42</v>
      </c>
      <c r="B23" s="25">
        <v>1265</v>
      </c>
      <c r="C23" s="25">
        <v>955</v>
      </c>
      <c r="D23" s="25">
        <v>605</v>
      </c>
      <c r="E23" s="25">
        <v>435</v>
      </c>
      <c r="F23" s="25">
        <v>210</v>
      </c>
      <c r="G23" s="26">
        <f t="shared" si="0"/>
        <v>3470</v>
      </c>
      <c r="H23" s="27">
        <f t="shared" si="1"/>
        <v>-3.8781163434903045E-2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0.100000000000001" customHeight="1" x14ac:dyDescent="0.25">
      <c r="A24" s="20" t="s">
        <v>1</v>
      </c>
      <c r="B24" s="21">
        <v>1280</v>
      </c>
      <c r="C24" s="21">
        <v>945</v>
      </c>
      <c r="D24" s="21">
        <v>610</v>
      </c>
      <c r="E24" s="21">
        <v>435</v>
      </c>
      <c r="F24" s="21">
        <v>218</v>
      </c>
      <c r="G24" s="22">
        <f t="shared" si="0"/>
        <v>3488</v>
      </c>
      <c r="H24" s="23">
        <f t="shared" si="1"/>
        <v>5.1873198847262247E-3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0.100000000000001" customHeight="1" x14ac:dyDescent="0.25">
      <c r="A25" s="24" t="s">
        <v>2</v>
      </c>
      <c r="B25" s="25">
        <v>1340</v>
      </c>
      <c r="C25" s="25">
        <v>970</v>
      </c>
      <c r="D25" s="25">
        <v>625</v>
      </c>
      <c r="E25" s="25">
        <v>450</v>
      </c>
      <c r="F25" s="25">
        <v>228</v>
      </c>
      <c r="G25" s="26">
        <f t="shared" si="0"/>
        <v>3613</v>
      </c>
      <c r="H25" s="27">
        <f t="shared" si="1"/>
        <v>3.5837155963302753E-2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0.100000000000001" customHeight="1" x14ac:dyDescent="0.25">
      <c r="A26" s="20" t="s">
        <v>3</v>
      </c>
      <c r="B26" s="21">
        <v>1395</v>
      </c>
      <c r="C26" s="21">
        <v>1010</v>
      </c>
      <c r="D26" s="21">
        <v>640</v>
      </c>
      <c r="E26" s="21">
        <v>470</v>
      </c>
      <c r="F26" s="21">
        <v>240</v>
      </c>
      <c r="G26" s="22">
        <f t="shared" si="0"/>
        <v>3755</v>
      </c>
      <c r="H26" s="23">
        <f t="shared" si="1"/>
        <v>3.9302518682535287E-2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0.100000000000001" customHeight="1" x14ac:dyDescent="0.25">
      <c r="A27" s="24" t="s">
        <v>4</v>
      </c>
      <c r="B27" s="25">
        <v>1310</v>
      </c>
      <c r="C27" s="25">
        <v>985</v>
      </c>
      <c r="D27" s="25">
        <v>615</v>
      </c>
      <c r="E27" s="25">
        <v>460</v>
      </c>
      <c r="F27" s="25">
        <v>235</v>
      </c>
      <c r="G27" s="26">
        <f t="shared" si="0"/>
        <v>3605</v>
      </c>
      <c r="H27" s="27">
        <f t="shared" si="1"/>
        <v>-3.9946737683089213E-2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0.100000000000001" customHeight="1" x14ac:dyDescent="0.25">
      <c r="A28" s="20" t="s">
        <v>5</v>
      </c>
      <c r="B28" s="21">
        <v>1350</v>
      </c>
      <c r="C28" s="21">
        <v>980</v>
      </c>
      <c r="D28" s="21">
        <v>630</v>
      </c>
      <c r="E28" s="21">
        <v>450</v>
      </c>
      <c r="F28" s="21">
        <v>245</v>
      </c>
      <c r="G28" s="22">
        <f t="shared" si="0"/>
        <v>3655</v>
      </c>
      <c r="H28" s="23">
        <f t="shared" si="1"/>
        <v>1.3869625520110958E-2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0.100000000000001" customHeight="1" x14ac:dyDescent="0.25">
      <c r="A29" s="24" t="s">
        <v>6</v>
      </c>
      <c r="B29" s="25">
        <v>1410</v>
      </c>
      <c r="C29" s="25">
        <v>1015</v>
      </c>
      <c r="D29" s="25">
        <v>650</v>
      </c>
      <c r="E29" s="25">
        <v>470</v>
      </c>
      <c r="F29" s="25">
        <v>258</v>
      </c>
      <c r="G29" s="26">
        <f t="shared" si="0"/>
        <v>3803</v>
      </c>
      <c r="H29" s="27">
        <f t="shared" si="1"/>
        <v>4.0492476060191518E-2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0.100000000000001" customHeight="1" x14ac:dyDescent="0.25">
      <c r="A30" s="20" t="s">
        <v>7</v>
      </c>
      <c r="B30" s="21">
        <v>1465</v>
      </c>
      <c r="C30" s="21">
        <v>1050</v>
      </c>
      <c r="D30" s="21">
        <v>665</v>
      </c>
      <c r="E30" s="21">
        <v>490</v>
      </c>
      <c r="F30" s="21">
        <v>270</v>
      </c>
      <c r="G30" s="22">
        <f t="shared" si="0"/>
        <v>3940</v>
      </c>
      <c r="H30" s="23">
        <f t="shared" si="1"/>
        <v>3.6024191427820144E-2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0.100000000000001" customHeight="1" x14ac:dyDescent="0.25">
      <c r="A31" s="24" t="s">
        <v>8</v>
      </c>
      <c r="B31" s="25">
        <v>1380</v>
      </c>
      <c r="C31" s="25">
        <v>1025</v>
      </c>
      <c r="D31" s="25">
        <v>640</v>
      </c>
      <c r="E31" s="25">
        <v>475</v>
      </c>
      <c r="F31" s="25">
        <v>265</v>
      </c>
      <c r="G31" s="26">
        <f t="shared" si="0"/>
        <v>3785</v>
      </c>
      <c r="H31" s="27">
        <f t="shared" si="1"/>
        <v>-3.934010152284264E-2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0.100000000000001" customHeight="1" thickBot="1" x14ac:dyDescent="0.3">
      <c r="A32" s="28" t="s">
        <v>9</v>
      </c>
      <c r="B32" s="29">
        <v>1430</v>
      </c>
      <c r="C32" s="29">
        <v>1050</v>
      </c>
      <c r="D32" s="29">
        <v>660</v>
      </c>
      <c r="E32" s="29">
        <v>480</v>
      </c>
      <c r="F32" s="29">
        <v>278</v>
      </c>
      <c r="G32" s="29">
        <f t="shared" si="0"/>
        <v>3898</v>
      </c>
      <c r="H32" s="30">
        <f t="shared" si="1"/>
        <v>2.9854689564068691E-2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1" customHeight="1" x14ac:dyDescent="0.25">
      <c r="A33" s="8"/>
      <c r="B33" s="8"/>
      <c r="C33" s="8"/>
      <c r="D33" s="8"/>
      <c r="E33" s="8"/>
      <c r="F33" s="8"/>
      <c r="G33" s="8"/>
      <c r="H33" s="8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4" customHeight="1" x14ac:dyDescent="0.3">
      <c r="A34" s="18" t="s">
        <v>47</v>
      </c>
      <c r="B34" s="8"/>
      <c r="C34" s="8"/>
      <c r="D34" s="8"/>
      <c r="E34" s="8"/>
      <c r="F34" s="8"/>
      <c r="G34" s="8"/>
      <c r="H34" s="8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4" customHeight="1" x14ac:dyDescent="0.25">
      <c r="A35" s="31" t="s">
        <v>10</v>
      </c>
      <c r="B35" s="19" t="s">
        <v>48</v>
      </c>
      <c r="C35" s="19" t="s">
        <v>49</v>
      </c>
      <c r="D35" s="19" t="s">
        <v>50</v>
      </c>
      <c r="E35" s="19" t="s">
        <v>12</v>
      </c>
      <c r="F35" s="19" t="s">
        <v>51</v>
      </c>
      <c r="G35" s="19" t="s">
        <v>52</v>
      </c>
      <c r="H35" s="19" t="s">
        <v>11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1.95" customHeight="1" x14ac:dyDescent="0.25">
      <c r="A36" s="20" t="s">
        <v>27</v>
      </c>
      <c r="B36" s="32">
        <f>B28</f>
        <v>1350</v>
      </c>
      <c r="C36" s="32">
        <f>B32</f>
        <v>1430</v>
      </c>
      <c r="D36" s="33">
        <f>C36-B36</f>
        <v>80</v>
      </c>
      <c r="E36" s="34">
        <f>(C36-B36)/B36</f>
        <v>5.9259259259259262E-2</v>
      </c>
      <c r="F36" s="35">
        <f>RANK(E36,$E$36:$E$40)</f>
        <v>4</v>
      </c>
      <c r="G36" s="20" t="s">
        <v>27</v>
      </c>
      <c r="H36" s="36">
        <f>B32/G32</f>
        <v>0.36685479733196513</v>
      </c>
      <c r="I36" s="2"/>
      <c r="J36" s="48" t="s">
        <v>10</v>
      </c>
      <c r="K36" s="48" t="s">
        <v>53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1.95" customHeight="1" x14ac:dyDescent="0.25">
      <c r="A37" s="24" t="s">
        <v>13</v>
      </c>
      <c r="B37" s="37">
        <f>C28</f>
        <v>980</v>
      </c>
      <c r="C37" s="37">
        <f>C32</f>
        <v>1050</v>
      </c>
      <c r="D37" s="38">
        <f>C37-B37</f>
        <v>70</v>
      </c>
      <c r="E37" s="39">
        <f>(C37-B37)/B37</f>
        <v>7.1428571428571425E-2</v>
      </c>
      <c r="F37" s="40">
        <f>RANK(E37,$E$36:$E$40)</f>
        <v>2</v>
      </c>
      <c r="G37" s="24" t="s">
        <v>13</v>
      </c>
      <c r="H37" s="41">
        <f>C32/G32</f>
        <v>0.26936890713186251</v>
      </c>
      <c r="I37" s="2"/>
      <c r="J37" s="48" t="str">
        <f>A36</f>
        <v>Pinnacle Title</v>
      </c>
      <c r="K37" s="49">
        <f>E36</f>
        <v>5.9259259259259262E-2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1.95" customHeight="1" x14ac:dyDescent="0.25">
      <c r="A38" s="20" t="s">
        <v>14</v>
      </c>
      <c r="B38" s="32">
        <f>D28</f>
        <v>630</v>
      </c>
      <c r="C38" s="32">
        <f>D32</f>
        <v>660</v>
      </c>
      <c r="D38" s="33">
        <f>C38-B38</f>
        <v>30</v>
      </c>
      <c r="E38" s="34">
        <f>(C38-B38)/B38</f>
        <v>4.7619047619047616E-2</v>
      </c>
      <c r="F38" s="35">
        <f>RANK(E38,$E$36:$E$40)</f>
        <v>5</v>
      </c>
      <c r="G38" s="20" t="s">
        <v>14</v>
      </c>
      <c r="H38" s="36">
        <f>D32/G32</f>
        <v>0.16931759876859928</v>
      </c>
      <c r="I38" s="2"/>
      <c r="J38" s="48" t="str">
        <f>A37</f>
        <v>First American</v>
      </c>
      <c r="K38" s="49">
        <f>E37</f>
        <v>7.1428571428571425E-2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1.95" customHeight="1" x14ac:dyDescent="0.25">
      <c r="A39" s="24" t="s">
        <v>15</v>
      </c>
      <c r="B39" s="37">
        <f>E28</f>
        <v>450</v>
      </c>
      <c r="C39" s="37">
        <f>E32</f>
        <v>480</v>
      </c>
      <c r="D39" s="38">
        <f>C39-B39</f>
        <v>30</v>
      </c>
      <c r="E39" s="39">
        <f>(C39-B39)/B39</f>
        <v>6.6666666666666666E-2</v>
      </c>
      <c r="F39" s="40">
        <f>RANK(E39,$E$36:$E$40)</f>
        <v>3</v>
      </c>
      <c r="G39" s="24" t="s">
        <v>15</v>
      </c>
      <c r="H39" s="41">
        <f>E32/G32</f>
        <v>0.12314007183170857</v>
      </c>
      <c r="I39" s="2"/>
      <c r="J39" s="48" t="str">
        <f>A38</f>
        <v>Old Republic</v>
      </c>
      <c r="K39" s="49">
        <f>E38</f>
        <v>4.7619047619047616E-2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1.95" customHeight="1" thickBot="1" x14ac:dyDescent="0.3">
      <c r="A40" s="42" t="s">
        <v>28</v>
      </c>
      <c r="B40" s="43">
        <f>F28</f>
        <v>245</v>
      </c>
      <c r="C40" s="43">
        <f>F32</f>
        <v>278</v>
      </c>
      <c r="D40" s="44">
        <f>C40-B40</f>
        <v>33</v>
      </c>
      <c r="E40" s="45">
        <f>(C40-B40)/B40</f>
        <v>0.13469387755102041</v>
      </c>
      <c r="F40" s="46">
        <f>RANK(E40,$E$36:$E$40)</f>
        <v>1</v>
      </c>
      <c r="G40" s="42" t="s">
        <v>28</v>
      </c>
      <c r="H40" s="47">
        <f>F32/G32</f>
        <v>7.131862493586455E-2</v>
      </c>
      <c r="I40" s="2"/>
      <c r="J40" s="48" t="str">
        <f>A39</f>
        <v>Stewart</v>
      </c>
      <c r="K40" s="49">
        <f>E39</f>
        <v>6.6666666666666666E-2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8"/>
      <c r="B41" s="8"/>
      <c r="C41" s="8"/>
      <c r="D41" s="8"/>
      <c r="E41" s="8"/>
      <c r="F41" s="8"/>
      <c r="G41" s="8"/>
      <c r="H41" s="8"/>
      <c r="I41" s="2"/>
      <c r="J41" s="48" t="str">
        <f>A40</f>
        <v>Westfield</v>
      </c>
      <c r="K41" s="49">
        <f>E40</f>
        <v>0.13469387755102041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8"/>
      <c r="B42" s="8"/>
      <c r="C42" s="8"/>
      <c r="D42" s="8"/>
      <c r="E42" s="8"/>
      <c r="F42" s="8"/>
      <c r="G42" s="8"/>
      <c r="H42" s="8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8"/>
      <c r="B43" s="8"/>
      <c r="C43" s="8"/>
      <c r="D43" s="8"/>
      <c r="E43" s="8"/>
      <c r="F43" s="8"/>
      <c r="G43" s="8"/>
      <c r="H43" s="8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8"/>
      <c r="B44" s="8"/>
      <c r="C44" s="8"/>
      <c r="D44" s="8"/>
      <c r="E44" s="8"/>
      <c r="F44" s="8"/>
      <c r="G44" s="8"/>
      <c r="H44" s="8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8"/>
      <c r="B45" s="8"/>
      <c r="C45" s="8"/>
      <c r="D45" s="8"/>
      <c r="E45" s="8"/>
      <c r="F45" s="8"/>
      <c r="G45" s="8"/>
      <c r="H45" s="8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50" t="s">
        <v>54</v>
      </c>
      <c r="B60" s="50"/>
      <c r="C60" s="50"/>
      <c r="D60" s="50"/>
      <c r="E60" s="50"/>
      <c r="F60" s="50"/>
      <c r="G60" s="50"/>
      <c r="H60" s="50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</sheetData>
  <mergeCells count="3">
    <mergeCell ref="A1:H1"/>
    <mergeCell ref="A2:H2"/>
    <mergeCell ref="A60:H6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Raza</cp:lastModifiedBy>
  <dcterms:created xsi:type="dcterms:W3CDTF">2026-05-10T10:23:56Z</dcterms:created>
  <dcterms:modified xsi:type="dcterms:W3CDTF">2026-05-14T10:36:19Z</dcterms:modified>
</cp:coreProperties>
</file>