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<sst xmlns="http://schemas.openxmlformats.org/spreadsheetml/2006/main" count="55" uniqueCount="43">
  <si>
    <t xml:space="preserve">PROJECT PORTFOLIO TRACKER</t>
  </si>
  <si>
    <t xml:space="preserve">  Active engagements · budget burn · health monitoring · auto-refreshable</t>
  </si>
  <si>
    <t xml:space="preserve">ACTIVE PROJECTS</t>
  </si>
  <si>
    <t xml:space="preserve">AT RISK / OVER</t>
  </si>
  <si>
    <t xml:space="preserve">TOTAL BUDGET</t>
  </si>
  <si>
    <t xml:space="preserve">BURN RATE</t>
  </si>
  <si>
    <t xml:space="preserve">Project</t>
  </si>
  <si>
    <t xml:space="preserve">Owner</t>
  </si>
  <si>
    <t xml:space="preserve">Start</t>
  </si>
  <si>
    <t xml:space="preserve">End</t>
  </si>
  <si>
    <t xml:space="preserve">Status</t>
  </si>
  <si>
    <t xml:space="preserve">Progress</t>
  </si>
  <si>
    <t xml:space="preserve">Budget</t>
  </si>
  <si>
    <t xml:space="preserve">Spent</t>
  </si>
  <si>
    <t xml:space="preserve">Health</t>
  </si>
  <si>
    <t xml:space="preserve">CRM Migration</t>
  </si>
  <si>
    <t xml:space="preserve">S. Khan</t>
  </si>
  <si>
    <t xml:space="preserve">In Progress</t>
  </si>
  <si>
    <t xml:space="preserve">Power BI Rollout</t>
  </si>
  <si>
    <t xml:space="preserve">A. Raza</t>
  </si>
  <si>
    <t xml:space="preserve">HR System Upgrade</t>
  </si>
  <si>
    <t xml:space="preserve">M. Patel</t>
  </si>
  <si>
    <t xml:space="preserve">On Track</t>
  </si>
  <si>
    <t xml:space="preserve">Website Redesign</t>
  </si>
  <si>
    <t xml:space="preserve">J. Lee</t>
  </si>
  <si>
    <t xml:space="preserve">At Risk</t>
  </si>
  <si>
    <t xml:space="preserve">Sales Automation</t>
  </si>
  <si>
    <t xml:space="preserve">R. Singh</t>
  </si>
  <si>
    <t xml:space="preserve">Done</t>
  </si>
  <si>
    <t xml:space="preserve">Compliance Audit</t>
  </si>
  <si>
    <t xml:space="preserve">T. Brown</t>
  </si>
  <si>
    <t xml:space="preserve">Planned</t>
  </si>
  <si>
    <t xml:space="preserve">Mobile App Beta</t>
  </si>
  <si>
    <t xml:space="preserve">A. Khan</t>
  </si>
  <si>
    <t xml:space="preserve">Data Warehouse</t>
  </si>
  <si>
    <t xml:space="preserve">D. Wong</t>
  </si>
  <si>
    <t xml:space="preserve">Marketing Site</t>
  </si>
  <si>
    <t xml:space="preserve">K. Garcia</t>
  </si>
  <si>
    <t xml:space="preserve">Customer Portal</t>
  </si>
  <si>
    <t xml:space="preserve">L. Mendes</t>
  </si>
  <si>
    <t xml:space="preserve">PORTFOLIO INSIGHTS</t>
  </si>
  <si>
    <t xml:space="preserve">Status Summary (auto)</t>
  </si>
  <si>
    <t xml:space="preserve">Count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</si>
</sst>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%"/>
    <numFmt numFmtId="168" formatCode="mmm\ d&quot;, &quot;yyyy"/>
    <numFmt numFmtId="169" formatCode="0.0%;\(0.0%\);\-"/>
    <numFmt numFmtId="170" formatCode="\$#,##0;&quot;($&quot;#,##0\);\-"/>
    <numFmt numFmtId="171" formatCode="#,##0;\(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4"/>
      <color rgb="FFFFFFFF"/>
      <name val="Calibri"/>
      <family val="0"/>
      <charset val="1"/>
    </font>
    <font>
      <b val="true"/>
      <sz val="12"/>
      <color rgb="FF4C1D95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0"/>
      <color rgb="FF1E40AF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b val="true"/>
      <sz val="10"/>
      <color rgb="FF6B21A8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5B21B6"/>
        <bgColor rgb="FF6B21A8"/>
      </patternFill>
    </fill>
    <fill>
      <patternFill patternType="solid">
        <fgColor rgb="FFDB2777"/>
        <bgColor rgb="FF991B1B"/>
      </patternFill>
    </fill>
    <fill>
      <patternFill patternType="solid">
        <fgColor rgb="FF4C1D95"/>
        <bgColor rgb="FF5B21B6"/>
      </patternFill>
    </fill>
    <fill>
      <patternFill patternType="solid">
        <fgColor rgb="FFFAF5FF"/>
        <bgColor rgb="FFFAF9FC"/>
      </patternFill>
    </fill>
    <fill>
      <patternFill patternType="solid">
        <fgColor rgb="FFDBEAFE"/>
        <bgColor rgb="FFE5E7EB"/>
      </patternFill>
    </fill>
    <fill>
      <patternFill patternType="solid">
        <fgColor rgb="FFFAF9FC"/>
        <bgColor rgb="FFFAF5FF"/>
      </patternFill>
    </fill>
    <fill>
      <patternFill patternType="solid">
        <fgColor rgb="FFD1FAE5"/>
        <bgColor rgb="FFC6EFCE"/>
      </patternFill>
    </fill>
    <fill>
      <patternFill patternType="solid">
        <fgColor rgb="FFFEF3C7"/>
        <bgColor rgb="FFFFEB9C"/>
      </patternFill>
    </fill>
    <fill>
      <patternFill patternType="solid">
        <fgColor rgb="FFE5E7EB"/>
        <bgColor rgb="FFDBEAFE"/>
      </patternFill>
    </fill>
    <fill>
      <patternFill patternType="solid">
        <fgColor rgb="FFF3E8FF"/>
        <bgColor rgb="FFE5E7E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DB2777"/>
      </left>
      <right/>
      <top/>
      <bottom style="thin">
        <color rgb="FFDB2777"/>
      </bottom>
      <diagonal/>
    </border>
    <border diagonalUp="false" diagonalDown="false">
      <left style="thin">
        <color rgb="FF5B21B6"/>
      </left>
      <right style="thin">
        <color rgb="FF5B21B6"/>
      </right>
      <top style="thin">
        <color rgb="FF5B21B6"/>
      </top>
      <bottom style="thin">
        <color rgb="FF5B21B6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9" fontId="11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1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1" fillId="7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F9FC"/>
      <rgbColor rgb="FFFF00FF"/>
      <rgbColor rgb="FF00FFFF"/>
      <rgbColor rgb="FF991B1B"/>
      <rgbColor rgb="FF008000"/>
      <rgbColor rgb="FF000080"/>
      <rgbColor rgb="FF808000"/>
      <rgbColor rgb="FF6B21A8"/>
      <rgbColor rgb="FF059669"/>
      <rgbColor rgb="FFE5E7EB"/>
      <rgbColor rgb="FF878787"/>
      <rgbColor rgb="FF9999FF"/>
      <rgbColor rgb="FFDB2777"/>
      <rgbColor rgb="FFFEF3C7"/>
      <rgbColor rgb="FFDBEAFE"/>
      <rgbColor rgb="FF4C1D95"/>
      <rgbColor rgb="FFFF8080"/>
      <rgbColor rgb="FF0066CC"/>
      <rgbColor rgb="FFD9D9D9"/>
      <rgbColor rgb="FF000080"/>
      <rgbColor rgb="FFFF00FF"/>
      <rgbColor rgb="FFFFFF00"/>
      <rgbColor rgb="FF00FFFF"/>
      <rgbColor rgb="FF5B21B6"/>
      <rgbColor rgb="FF800000"/>
      <rgbColor rgb="FF065F46"/>
      <rgbColor rgb="FF0000FF"/>
      <rgbColor rgb="FF00CCFF"/>
      <rgbColor rgb="FFC6EFCE"/>
      <rgbColor rgb="FFD1FAE5"/>
      <rgbColor rgb="FFFFEB9C"/>
      <rgbColor rgb="FFF3E8FF"/>
      <rgbColor rgb="FFFEE2E2"/>
      <rgbColor rgb="FFFAF5FF"/>
      <rgbColor rgb="FFFFC7CE"/>
      <rgbColor rgb="FF4F81BD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74151"/>
      <rgbColor rgb="FF92400E"/>
      <rgbColor rgb="FF7C3AED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Spent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'Project Tracker'!G8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5b21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Tracker'!$A$9:$A$18</c:f>
              <c:strCache>
                <c:ptCount val="10"/>
                <c:pt idx="0">
                  <c:v>CRM Migration</c:v>
                </c:pt>
                <c:pt idx="1">
                  <c:v>Power BI Rollout</c:v>
                </c:pt>
                <c:pt idx="2">
                  <c:v>HR System Upgrade</c:v>
                </c:pt>
                <c:pt idx="3">
                  <c:v>Website Redesign</c:v>
                </c:pt>
                <c:pt idx="4">
                  <c:v>Sales Automation</c:v>
                </c:pt>
                <c:pt idx="5">
                  <c:v>Compliance Audit</c:v>
                </c:pt>
                <c:pt idx="6">
                  <c:v>Mobile App Beta</c:v>
                </c:pt>
                <c:pt idx="7">
                  <c:v>Data Warehouse</c:v>
                </c:pt>
                <c:pt idx="8">
                  <c:v>Marketing Site</c:v>
                </c:pt>
                <c:pt idx="9">
                  <c:v>Customer Portal</c:v>
                </c:pt>
              </c:strCache>
            </c:strRef>
          </c:cat>
          <c:val>
            <c:numRef>
              <c:f>'Project Tracker'!$G$9:$G$18</c:f>
              <c:numCache>
                <c:formatCode>\$#,##0;"($"#,##0\);\-</c:formatCode>
                <c:ptCount val="10"/>
                <c:pt idx="0">
                  <c:v>80000</c:v>
                </c:pt>
                <c:pt idx="1">
                  <c:v>35000</c:v>
                </c:pt>
                <c:pt idx="2">
                  <c:v>120000</c:v>
                </c:pt>
                <c:pt idx="3">
                  <c:v>45000</c:v>
                </c:pt>
                <c:pt idx="4">
                  <c:v>28000</c:v>
                </c:pt>
                <c:pt idx="5">
                  <c:v>55000</c:v>
                </c:pt>
                <c:pt idx="6">
                  <c:v>180000</c:v>
                </c:pt>
                <c:pt idx="7">
                  <c:v>250000</c:v>
                </c:pt>
                <c:pt idx="8">
                  <c:v>32000</c:v>
                </c:pt>
                <c:pt idx="9">
                  <c:v>65000</c:v>
                </c:pt>
              </c:numCache>
            </c:numRef>
          </c:val>
        </c:ser>
        <c:ser>
          <c:idx val="1"/>
          <c:order val="1"/>
          <c:tx>
            <c:strRef>
              <c:f>'Project Tracker'!H8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db277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Tracker'!$A$9:$A$18</c:f>
              <c:strCache>
                <c:ptCount val="10"/>
                <c:pt idx="0">
                  <c:v>CRM Migration</c:v>
                </c:pt>
                <c:pt idx="1">
                  <c:v>Power BI Rollout</c:v>
                </c:pt>
                <c:pt idx="2">
                  <c:v>HR System Upgrade</c:v>
                </c:pt>
                <c:pt idx="3">
                  <c:v>Website Redesign</c:v>
                </c:pt>
                <c:pt idx="4">
                  <c:v>Sales Automation</c:v>
                </c:pt>
                <c:pt idx="5">
                  <c:v>Compliance Audit</c:v>
                </c:pt>
                <c:pt idx="6">
                  <c:v>Mobile App Beta</c:v>
                </c:pt>
                <c:pt idx="7">
                  <c:v>Data Warehouse</c:v>
                </c:pt>
                <c:pt idx="8">
                  <c:v>Marketing Site</c:v>
                </c:pt>
                <c:pt idx="9">
                  <c:v>Customer Portal</c:v>
                </c:pt>
              </c:strCache>
            </c:strRef>
          </c:cat>
          <c:val>
            <c:numRef>
              <c:f>'Project Tracker'!$H$9:$H$18</c:f>
              <c:numCache>
                <c:formatCode>\$#,##0;"($"#,##0\);\-</c:formatCode>
                <c:ptCount val="10"/>
                <c:pt idx="0">
                  <c:v>52000</c:v>
                </c:pt>
                <c:pt idx="1">
                  <c:v>18500</c:v>
                </c:pt>
                <c:pt idx="2">
                  <c:v>38000</c:v>
                </c:pt>
                <c:pt idx="3">
                  <c:v>42000</c:v>
                </c:pt>
                <c:pt idx="4">
                  <c:v>26500</c:v>
                </c:pt>
                <c:pt idx="5">
                  <c:v>2000</c:v>
                </c:pt>
                <c:pt idx="6">
                  <c:v>45000</c:v>
                </c:pt>
                <c:pt idx="7">
                  <c:v>82000</c:v>
                </c:pt>
                <c:pt idx="8">
                  <c:v>1500</c:v>
                </c:pt>
                <c:pt idx="9">
                  <c:v>68000</c:v>
                </c:pt>
              </c:numCache>
            </c:numRef>
          </c:val>
        </c:ser>
        <c:gapWidth val="150"/>
        <c:overlap val="0"/>
        <c:axId val="52914973"/>
        <c:axId val="32147315"/>
      </c:barChart>
      <c:catAx>
        <c:axId val="529149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47315"/>
        <c:crosses val="autoZero"/>
        <c:auto val="1"/>
        <c:lblAlgn val="ctr"/>
        <c:lblOffset val="100"/>
        <c:noMultiLvlLbl val="0"/>
      </c:catAx>
      <c:valAx>
        <c:axId val="32147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14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'Project Tracker'!B46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5966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e40a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9770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c3ae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6b728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'Project Tracker'!$A$47:$A$51</c:f>
              <c:strCache>
                <c:ptCount val="5"/>
                <c:pt idx="0">
                  <c:v>On Track</c:v>
                </c:pt>
                <c:pt idx="1">
                  <c:v>In Progress</c:v>
                </c:pt>
                <c:pt idx="2">
                  <c:v>At Risk</c:v>
                </c:pt>
                <c:pt idx="3">
                  <c:v>Planned</c:v>
                </c:pt>
                <c:pt idx="4">
                  <c:v>Done</c:v>
                </c:pt>
              </c:strCache>
            </c:strRef>
          </c:cat>
          <c:val>
            <c:numRef>
              <c:f>'Project Tracker'!$B$47:$B$51</c:f>
              <c:numCache>
                <c:formatCode>#,##0;\(#,##0\);\-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4</xdr:col>
      <xdr:colOff>810000</xdr:colOff>
      <xdr:row>40</xdr:row>
      <xdr:rowOff>170280</xdr:rowOff>
    </xdr:to>
    <xdr:graphicFrame>
      <xdr:nvGraphicFramePr>
        <xdr:cNvPr id="0" name="Chart 1"/>
        <xdr:cNvGraphicFramePr/>
      </xdr:nvGraphicFramePr>
      <xdr:xfrm>
        <a:off x="0" y="637236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22</xdr:row>
      <xdr:rowOff>0</xdr:rowOff>
    </xdr:from>
    <xdr:to>
      <xdr:col>9</xdr:col>
      <xdr:colOff>279000</xdr:colOff>
      <xdr:row>40</xdr:row>
      <xdr:rowOff>170280</xdr:rowOff>
    </xdr:to>
    <xdr:graphicFrame>
      <xdr:nvGraphicFramePr>
        <xdr:cNvPr id="1" name="Chart 2"/>
        <xdr:cNvGraphicFramePr/>
      </xdr:nvGraphicFramePr>
      <xdr:xfrm>
        <a:off x="6061680" y="6372360"/>
        <a:ext cx="32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9" min="7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5" t="s">
        <v>2</v>
      </c>
      <c r="B4" s="5"/>
      <c r="C4" s="5" t="s">
        <v>3</v>
      </c>
      <c r="D4" s="5"/>
      <c r="E4" s="3"/>
      <c r="F4" s="5" t="s">
        <v>4</v>
      </c>
      <c r="G4" s="5"/>
      <c r="H4" s="5" t="s">
        <v>5</v>
      </c>
      <c r="I4" s="5"/>
      <c r="J4" s="3"/>
    </row>
    <row r="5" customFormat="false" ht="48" hidden="false" customHeight="true" outlineLevel="0" collapsed="false">
      <c r="A5" s="6" t="n">
        <f aca="false">COUNTIF(E9:E18,"In Progress")+COUNTIF(E9:E18,"On Track")</f>
        <v>5</v>
      </c>
      <c r="B5" s="6"/>
      <c r="C5" s="6" t="n">
        <f aca="false">COUNTIF(E9:E18,"At Risk")+COUNTIF(I9:I18,"Over Budget")</f>
        <v>3</v>
      </c>
      <c r="D5" s="6"/>
      <c r="E5" s="3"/>
      <c r="F5" s="7" t="n">
        <f aca="false">SUM(G9:G18)</f>
        <v>890000</v>
      </c>
      <c r="G5" s="7"/>
      <c r="H5" s="8" t="n">
        <f aca="false">SUM(H9:H18)/SUM(G9:G18)</f>
        <v>0.421910112359551</v>
      </c>
      <c r="I5" s="8"/>
      <c r="J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</row>
    <row r="7" customFormat="false" ht="25.5" hidden="false" customHeight="true" outlineLevel="0" collapsed="false">
      <c r="A7" s="9" t="s">
        <v>2</v>
      </c>
      <c r="B7" s="9"/>
      <c r="C7" s="9"/>
      <c r="D7" s="9"/>
      <c r="E7" s="9"/>
      <c r="F7" s="9"/>
      <c r="G7" s="9"/>
      <c r="H7" s="9"/>
      <c r="I7" s="9"/>
      <c r="J7" s="3"/>
    </row>
    <row r="8" customFormat="false" ht="27.75" hidden="false" customHeight="true" outlineLevel="0" collapsed="false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0" t="s">
        <v>13</v>
      </c>
      <c r="I8" s="10" t="s">
        <v>14</v>
      </c>
      <c r="J8" s="3"/>
    </row>
    <row r="9" customFormat="false" ht="21.75" hidden="false" customHeight="true" outlineLevel="0" collapsed="false">
      <c r="A9" s="11" t="s">
        <v>15</v>
      </c>
      <c r="B9" s="12" t="s">
        <v>16</v>
      </c>
      <c r="C9" s="13" t="n">
        <v>46037</v>
      </c>
      <c r="D9" s="13" t="n">
        <v>46142</v>
      </c>
      <c r="E9" s="14" t="s">
        <v>17</v>
      </c>
      <c r="F9" s="15" t="n">
        <v>0.65</v>
      </c>
      <c r="G9" s="16" t="n">
        <v>80000</v>
      </c>
      <c r="H9" s="16" t="n">
        <v>52000</v>
      </c>
      <c r="I9" s="12" t="str">
        <f aca="false">IF(H9&gt;G9,"Over Budget",IF(H9&gt;G9*F9*1.1,"Watch","Healthy"))</f>
        <v>Healthy</v>
      </c>
      <c r="J9" s="3"/>
    </row>
    <row r="10" customFormat="false" ht="21.75" hidden="false" customHeight="true" outlineLevel="0" collapsed="false">
      <c r="A10" s="17" t="s">
        <v>18</v>
      </c>
      <c r="B10" s="18" t="s">
        <v>19</v>
      </c>
      <c r="C10" s="19" t="n">
        <v>46054</v>
      </c>
      <c r="D10" s="19" t="n">
        <v>46157</v>
      </c>
      <c r="E10" s="14" t="s">
        <v>17</v>
      </c>
      <c r="F10" s="20" t="n">
        <v>0.4</v>
      </c>
      <c r="G10" s="21" t="n">
        <v>35000</v>
      </c>
      <c r="H10" s="21" t="n">
        <v>18500</v>
      </c>
      <c r="I10" s="18" t="str">
        <f aca="false">IF(H10&gt;G10,"Over Budget",IF(H10&gt;G10*F10*1.1,"Watch","Healthy"))</f>
        <v>Watch</v>
      </c>
      <c r="J10" s="3"/>
    </row>
    <row r="11" customFormat="false" ht="21.75" hidden="false" customHeight="true" outlineLevel="0" collapsed="false">
      <c r="A11" s="11" t="s">
        <v>20</v>
      </c>
      <c r="B11" s="12" t="s">
        <v>21</v>
      </c>
      <c r="C11" s="13" t="n">
        <v>46027</v>
      </c>
      <c r="D11" s="13" t="n">
        <v>46203</v>
      </c>
      <c r="E11" s="22" t="s">
        <v>22</v>
      </c>
      <c r="F11" s="15" t="n">
        <v>0.3</v>
      </c>
      <c r="G11" s="16" t="n">
        <v>120000</v>
      </c>
      <c r="H11" s="16" t="n">
        <v>38000</v>
      </c>
      <c r="I11" s="12" t="str">
        <f aca="false">IF(H11&gt;G11,"Over Budget",IF(H11&gt;G11*F11*1.1,"Watch","Healthy"))</f>
        <v>Healthy</v>
      </c>
      <c r="J11" s="3"/>
    </row>
    <row r="12" customFormat="false" ht="21.75" hidden="false" customHeight="true" outlineLevel="0" collapsed="false">
      <c r="A12" s="17" t="s">
        <v>23</v>
      </c>
      <c r="B12" s="18" t="s">
        <v>24</v>
      </c>
      <c r="C12" s="19" t="n">
        <v>46082</v>
      </c>
      <c r="D12" s="19" t="n">
        <v>46172</v>
      </c>
      <c r="E12" s="23" t="s">
        <v>25</v>
      </c>
      <c r="F12" s="20" t="n">
        <v>0.55</v>
      </c>
      <c r="G12" s="21" t="n">
        <v>45000</v>
      </c>
      <c r="H12" s="21" t="n">
        <v>42000</v>
      </c>
      <c r="I12" s="18" t="str">
        <f aca="false">IF(H12&gt;G12,"Over Budget",IF(H12&gt;G12*F12*1.1,"Watch","Healthy"))</f>
        <v>Watch</v>
      </c>
      <c r="J12" s="3"/>
    </row>
    <row r="13" customFormat="false" ht="21.75" hidden="false" customHeight="true" outlineLevel="0" collapsed="false">
      <c r="A13" s="11" t="s">
        <v>26</v>
      </c>
      <c r="B13" s="12" t="s">
        <v>27</v>
      </c>
      <c r="C13" s="13" t="n">
        <v>46068</v>
      </c>
      <c r="D13" s="13" t="n">
        <v>46127</v>
      </c>
      <c r="E13" s="24" t="s">
        <v>28</v>
      </c>
      <c r="F13" s="15" t="n">
        <v>1</v>
      </c>
      <c r="G13" s="16" t="n">
        <v>28000</v>
      </c>
      <c r="H13" s="16" t="n">
        <v>26500</v>
      </c>
      <c r="I13" s="12" t="str">
        <f aca="false">IF(H13&gt;G13,"Over Budget",IF(H13&gt;G13*F13*1.1,"Watch","Healthy"))</f>
        <v>Healthy</v>
      </c>
      <c r="J13" s="3"/>
    </row>
    <row r="14" customFormat="false" ht="21.75" hidden="false" customHeight="true" outlineLevel="0" collapsed="false">
      <c r="A14" s="17" t="s">
        <v>29</v>
      </c>
      <c r="B14" s="18" t="s">
        <v>30</v>
      </c>
      <c r="C14" s="19" t="n">
        <v>46113</v>
      </c>
      <c r="D14" s="19" t="n">
        <v>46234</v>
      </c>
      <c r="E14" s="25" t="s">
        <v>31</v>
      </c>
      <c r="F14" s="20" t="n">
        <v>0.1</v>
      </c>
      <c r="G14" s="21" t="n">
        <v>55000</v>
      </c>
      <c r="H14" s="21" t="n">
        <v>2000</v>
      </c>
      <c r="I14" s="18" t="str">
        <f aca="false">IF(H14&gt;G14,"Over Budget",IF(H14&gt;G14*F14*1.1,"Watch","Healthy"))</f>
        <v>Healthy</v>
      </c>
      <c r="J14" s="3"/>
    </row>
    <row r="15" customFormat="false" ht="21.75" hidden="false" customHeight="true" outlineLevel="0" collapsed="false">
      <c r="A15" s="11" t="s">
        <v>32</v>
      </c>
      <c r="B15" s="12" t="s">
        <v>33</v>
      </c>
      <c r="C15" s="13" t="n">
        <v>46096</v>
      </c>
      <c r="D15" s="13" t="n">
        <v>46264</v>
      </c>
      <c r="E15" s="14" t="s">
        <v>17</v>
      </c>
      <c r="F15" s="15" t="n">
        <v>0.25</v>
      </c>
      <c r="G15" s="16" t="n">
        <v>180000</v>
      </c>
      <c r="H15" s="16" t="n">
        <v>45000</v>
      </c>
      <c r="I15" s="12" t="str">
        <f aca="false">IF(H15&gt;G15,"Over Budget",IF(H15&gt;G15*F15*1.1,"Watch","Healthy"))</f>
        <v>Healthy</v>
      </c>
      <c r="J15" s="3"/>
    </row>
    <row r="16" customFormat="false" ht="21.75" hidden="false" customHeight="true" outlineLevel="0" collapsed="false">
      <c r="A16" s="17" t="s">
        <v>34</v>
      </c>
      <c r="B16" s="18" t="s">
        <v>35</v>
      </c>
      <c r="C16" s="19" t="n">
        <v>46042</v>
      </c>
      <c r="D16" s="19" t="n">
        <v>46295</v>
      </c>
      <c r="E16" s="22" t="s">
        <v>22</v>
      </c>
      <c r="F16" s="20" t="n">
        <v>0.35</v>
      </c>
      <c r="G16" s="21" t="n">
        <v>250000</v>
      </c>
      <c r="H16" s="21" t="n">
        <v>82000</v>
      </c>
      <c r="I16" s="18" t="str">
        <f aca="false">IF(H16&gt;G16,"Over Budget",IF(H16&gt;G16*F16*1.1,"Watch","Healthy"))</f>
        <v>Healthy</v>
      </c>
      <c r="J16" s="3"/>
    </row>
    <row r="17" customFormat="false" ht="21.75" hidden="false" customHeight="true" outlineLevel="0" collapsed="false">
      <c r="A17" s="11" t="s">
        <v>36</v>
      </c>
      <c r="B17" s="12" t="s">
        <v>37</v>
      </c>
      <c r="C17" s="13" t="n">
        <v>46127</v>
      </c>
      <c r="D17" s="13" t="n">
        <v>46188</v>
      </c>
      <c r="E17" s="25" t="s">
        <v>31</v>
      </c>
      <c r="F17" s="15" t="n">
        <v>0.05</v>
      </c>
      <c r="G17" s="16" t="n">
        <v>32000</v>
      </c>
      <c r="H17" s="16" t="n">
        <v>1500</v>
      </c>
      <c r="I17" s="12" t="str">
        <f aca="false">IF(H17&gt;G17,"Over Budget",IF(H17&gt;G17*F17*1.1,"Watch","Healthy"))</f>
        <v>Healthy</v>
      </c>
      <c r="J17" s="3"/>
    </row>
    <row r="18" customFormat="false" ht="21.75" hidden="false" customHeight="true" outlineLevel="0" collapsed="false">
      <c r="A18" s="17" t="s">
        <v>38</v>
      </c>
      <c r="B18" s="18" t="s">
        <v>39</v>
      </c>
      <c r="C18" s="19" t="n">
        <v>46063</v>
      </c>
      <c r="D18" s="19" t="n">
        <v>46152</v>
      </c>
      <c r="E18" s="23" t="s">
        <v>25</v>
      </c>
      <c r="F18" s="20" t="n">
        <v>0.7</v>
      </c>
      <c r="G18" s="21" t="n">
        <v>65000</v>
      </c>
      <c r="H18" s="21" t="n">
        <v>68000</v>
      </c>
      <c r="I18" s="18" t="str">
        <f aca="false">IF(H18&gt;G18,"Over Budget",IF(H18&gt;G18*F18*1.1,"Watch","Healthy"))</f>
        <v>Over Budget</v>
      </c>
      <c r="J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25.5" hidden="false" customHeight="true" outlineLevel="0" collapsed="false">
      <c r="A21" s="9" t="s">
        <v>40</v>
      </c>
      <c r="B21" s="9"/>
      <c r="C21" s="9"/>
      <c r="D21" s="9"/>
      <c r="E21" s="9"/>
      <c r="F21" s="9"/>
      <c r="G21" s="9"/>
      <c r="H21" s="9"/>
      <c r="I21" s="9"/>
      <c r="J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5" customFormat="false" ht="15" hidden="false" customHeight="false" outlineLevel="0" collapsed="false">
      <c r="A45" s="26" t="s">
        <v>41</v>
      </c>
    </row>
    <row r="46" customFormat="false" ht="27.75" hidden="false" customHeight="true" outlineLevel="0" collapsed="false">
      <c r="A46" s="10" t="s">
        <v>10</v>
      </c>
      <c r="B46" s="10" t="s">
        <v>42</v>
      </c>
    </row>
    <row r="47" customFormat="false" ht="21.75" hidden="false" customHeight="true" outlineLevel="0" collapsed="false">
      <c r="A47" s="11" t="s">
        <v>22</v>
      </c>
      <c r="B47" s="27" t="n">
        <f aca="false">COUNTIF(E9:E18,A47)</f>
        <v>2</v>
      </c>
    </row>
    <row r="48" customFormat="false" ht="21.75" hidden="false" customHeight="true" outlineLevel="0" collapsed="false">
      <c r="A48" s="17" t="s">
        <v>17</v>
      </c>
      <c r="B48" s="28" t="n">
        <f aca="false">COUNTIF(E9:E18,A48)</f>
        <v>3</v>
      </c>
    </row>
    <row r="49" customFormat="false" ht="21.75" hidden="false" customHeight="true" outlineLevel="0" collapsed="false">
      <c r="A49" s="11" t="s">
        <v>25</v>
      </c>
      <c r="B49" s="27" t="n">
        <f aca="false">COUNTIF(E9:E18,A49)</f>
        <v>2</v>
      </c>
    </row>
    <row r="50" customFormat="false" ht="21.75" hidden="false" customHeight="true" outlineLevel="0" collapsed="false">
      <c r="A50" s="17" t="s">
        <v>31</v>
      </c>
      <c r="B50" s="28" t="n">
        <f aca="false">COUNTIF(E9:E18,A50)</f>
        <v>2</v>
      </c>
    </row>
    <row r="51" customFormat="false" ht="21.75" hidden="false" customHeight="true" outlineLevel="0" collapsed="false">
      <c r="A51" s="11" t="s">
        <v>28</v>
      </c>
      <c r="B51" s="27" t="n">
        <f aca="false">COUNTIF(E9:E18,A51)</f>
        <v>1</v>
      </c>
    </row>
  </sheetData>
  <mergeCells count="12">
    <mergeCell ref="A1:I1"/>
    <mergeCell ref="A2:I2"/>
    <mergeCell ref="A4:B4"/>
    <mergeCell ref="C4:D4"/>
    <mergeCell ref="F4:G4"/>
    <mergeCell ref="H4:I4"/>
    <mergeCell ref="A5:B5"/>
    <mergeCell ref="C5:D5"/>
    <mergeCell ref="F5:G5"/>
    <mergeCell ref="H5:I5"/>
    <mergeCell ref="A7:I7"/>
    <mergeCell ref="A21:I21"/>
  </mergeCells>
  <conditionalFormatting sqref="E4:E1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"At Risk"</formula>
    </cfRule>
    <cfRule type="cellIs" priority="4" operator="equal" aboveAverage="0" equalAverage="0" bottom="0" percent="0" rank="0" text="" dxfId="2">
      <formula>"In Progress"</formula>
    </cfRule>
  </conditionalFormatting>
  <conditionalFormatting sqref="I4:I13">
    <cfRule type="cellIs" priority="5" operator="equal" aboveAverage="0" equalAverage="0" bottom="0" percent="0" rank="0" text="" dxfId="0">
      <formula>"Healthy"</formula>
    </cfRule>
    <cfRule type="cellIs" priority="6" operator="equal" aboveAverage="0" equalAverage="0" bottom="0" percent="0" rank="0" text="" dxfId="1">
      <formula>"Over Budget"</formula>
    </cfRule>
  </conditionalFormatting>
  <conditionalFormatting sqref="F4:F13">
    <cfRule type="dataBar" priority="7">
      <dataBar showValue="1" minLength="10" maxLength="90">
        <cfvo type="num" val="0"/>
        <cfvo type="num" val="1"/>
        <color rgb="FF1F3A68"/>
      </dataBar>
      <extLst>
        <ext xmlns:x14="http://schemas.microsoft.com/office/spreadsheetml/2009/9/main" uri="{B025F937-C7B1-47D3-B67F-A62EFF666E3E}">
          <x14:id>{A0555ABA-D516-495F-82BD-8546F747C8B0}</x14:id>
        </ext>
      </extLst>
    </cfRule>
  </conditionalFormatting>
  <conditionalFormatting sqref="F9:F18">
    <cfRule type="dataBar" priority="8">
      <dataBar showValue="1" minLength="10" maxLength="90">
        <cfvo type="num" val="0"/>
        <cfvo type="num" val="1"/>
        <color rgb="FFDB2777"/>
      </dataBar>
      <extLst>
        <ext xmlns:x14="http://schemas.microsoft.com/office/spreadsheetml/2009/9/main" uri="{B025F937-C7B1-47D3-B67F-A62EFF666E3E}">
          <x14:id>{259E3430-FA3C-4DF5-AF3B-536DD053CC4A}</x14:id>
        </ext>
      </extLst>
    </cfRule>
  </conditionalFormatting>
  <conditionalFormatting sqref="I9:I18">
    <cfRule type="cellIs" priority="9" operator="equal" aboveAverage="0" equalAverage="0" bottom="0" percent="0" rank="0" text="" dxfId="3">
      <formula>"Healthy"</formula>
    </cfRule>
    <cfRule type="cellIs" priority="10" operator="equal" aboveAverage="0" equalAverage="0" bottom="0" percent="0" rank="0" text="" dxfId="4">
      <formula>"Watch"</formula>
    </cfRule>
    <cfRule type="cellIs" priority="11" operator="equal" aboveAverage="0" equalAverage="0" bottom="0" percent="0" rank="0" text="" dxfId="5">
      <formula>"Over Budget"</formula>
    </cfRule>
  </conditionalFormatting>
  <conditionalFormatting sqref="G9:G18">
    <cfRule type="dataBar" priority="12">
      <dataBar showValue="1" minLength="10" maxLength="90">
        <cfvo type="min" val="0"/>
        <cfvo type="max" val="0"/>
        <color rgb="FF5B21B6"/>
      </dataBar>
      <extLst>
        <ext xmlns:x14="http://schemas.microsoft.com/office/spreadsheetml/2009/9/main" uri="{B025F937-C7B1-47D3-B67F-A62EFF666E3E}">
          <x14:id>{8CB6C332-AC51-4F8B-8B32-20105EB62F59}</x14:id>
        </ext>
      </extLst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555ABA-D516-495F-82BD-8546F747C8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3A68"/>
              <x14:axisColor rgb="FF000000"/>
            </x14:dataBar>
          </x14:cfRule>
          <xm:sqref>F4:F13</xm:sqref>
        </x14:conditionalFormatting>
        <x14:conditionalFormatting xmlns:xm="http://schemas.microsoft.com/office/excel/2006/main">
          <x14:cfRule type="dataBar" id="{259E3430-FA3C-4DF5-AF3B-536DD053CC4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DB2777"/>
              <x14:axisColor rgb="FF000000"/>
            </x14:dataBar>
          </x14:cfRule>
          <xm:sqref>F9:F18</xm:sqref>
        </x14:conditionalFormatting>
        <x14:conditionalFormatting xmlns:xm="http://schemas.microsoft.com/office/excel/2006/main">
          <x14:cfRule type="dataBar" id="{8CB6C332-AC51-4F8B-8B32-20105EB62F59}">
            <x14:dataBar minLength="10" maxLength="90" axisPosition="none" gradient="true">
              <x14:cfvo type="min"/>
              <x14:cfvo type="max"/>
              <x14:negativeFillColor rgb="FF5B21B6"/>
              <x14:axisColor rgb="FF000000"/>
            </x14:dataBar>
          </x14:cfRule>
          <xm:sqref>G9:G18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2026-05-10T11:00:22Z</dcterms:created>
  <dc:creator>openpyxl</dc:creator>
  <dc:description/>
  <dc:language>en-US</dc:language>
  <cp:lastModifiedBy/>
  <dcterms:modified xsi:type="dcterms:W3CDTF">2026-05-17T17:12:25Z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