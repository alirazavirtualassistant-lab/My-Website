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<sst xmlns="http://schemas.openxmlformats.org/spreadsheetml/2006/main" count="37" uniqueCount="33">
  <si>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PERSONAL BUDGET TRACKER — 2026</t>
  </si>
  <si>
    <t xml:space="preserve">  Monthly income vs expenses · variance tracking · auto-calculated balance</t>
  </si>
  <si>
    <t xml:space="preserve">TOTAL INCOME (Actual)</t>
  </si>
  <si>
    <t xml:space="preserve">TOTAL EXPENSES (Actual)</t>
  </si>
  <si>
    <t xml:space="preserve">NET BALANCE</t>
  </si>
  <si>
    <t xml:space="preserve">SAVINGS RATE</t>
  </si>
  <si>
    <t xml:space="preserve">INCOME</t>
  </si>
  <si>
    <t xml:space="preserve">Source</t>
  </si>
  <si>
    <t xml:space="preserve">Planned</t>
  </si>
  <si>
    <t xml:space="preserve">Actual</t>
  </si>
  <si>
    <t xml:space="preserve">Variance</t>
  </si>
  <si>
    <t xml:space="preserve">% of Total</t>
  </si>
  <si>
    <t xml:space="preserve">Salary</t>
  </si>
  <si>
    <t xml:space="preserve">Freelance</t>
  </si>
  <si>
    <t xml:space="preserve">Investments</t>
  </si>
  <si>
    <t xml:space="preserve">Other</t>
  </si>
  <si>
    <t xml:space="preserve">TOTAL INCOME</t>
  </si>
  <si>
    <t xml:space="preserve">EXPENSES</t>
  </si>
  <si>
    <t xml:space="preserve">Category</t>
  </si>
  <si>
    <t xml:space="preserve">% of Income</t>
  </si>
  <si>
    <t xml:space="preserve">Housing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</si>
  <si>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</si>
  <si>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</si>
  <si>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</si>
  <si>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</si>
  <si>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Healthcare</t>
  </si>
  <si>
    <t xml:space="preserve">Entertainment</t>
  </si>
  <si>
    <t xml:space="preserve">Subscriptions</t>
  </si>
  <si>
    <t xml:space="preserve">Dining out</t>
  </si>
  <si>
    <t xml:space="preserve">Savings &amp; Investments</t>
  </si>
  <si>
    <t xml:space="preserve">Misc/Buffer</t>
  </si>
  <si>
    <t xml:space="preserve">TOTAL EXPENSES</t>
  </si>
  <si>
    <t xml:space="preserve">VISUAL ANALYSIS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</si>
</sst>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;&quot;($&quot;#,##0\);\-"/>
    <numFmt numFmtId="168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rgb="FF065F4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47857"/>
        <bgColor rgb="FF065F46"/>
      </patternFill>
    </fill>
    <fill>
      <patternFill patternType="solid">
        <fgColor rgb="FFB45309"/>
        <bgColor rgb="FFEA580C"/>
      </patternFill>
    </fill>
    <fill>
      <patternFill patternType="solid">
        <fgColor rgb="FF059669"/>
        <bgColor rgb="FF16A34A"/>
      </patternFill>
    </fill>
    <fill>
      <patternFill patternType="solid">
        <fgColor rgb="FFDC2626"/>
        <bgColor rgb="FFBE185D"/>
      </patternFill>
    </fill>
    <fill>
      <patternFill patternType="solid">
        <fgColor rgb="FF065F46"/>
        <bgColor rgb="FF047857"/>
      </patternFill>
    </fill>
    <fill>
      <patternFill patternType="solid">
        <fgColor rgb="FFECFDF5"/>
        <bgColor rgb="FFF8FAF8"/>
      </patternFill>
    </fill>
    <fill>
      <patternFill patternType="solid">
        <fgColor rgb="FFFFFFFF"/>
        <bgColor rgb="FFF8FAF8"/>
      </patternFill>
    </fill>
    <fill>
      <patternFill patternType="solid">
        <fgColor rgb="FFF8FAF8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B45309"/>
      </left>
      <right/>
      <top/>
      <bottom style="thin">
        <color rgb="FFB45309"/>
      </bottom>
      <diagonal/>
    </border>
    <border diagonalUp="false" diagonalDown="false"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 style="medium">
        <color rgb="FF065F46"/>
      </top>
      <bottom style="medium">
        <color rgb="FF065F46"/>
      </bottom>
      <diagonal/>
    </border>
    <border diagonalUp="false" diagonalDown="false"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1" fillId="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2" fillId="2" borderId="4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6" fontId="12" fillId="2" borderId="4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3" fillId="6" borderId="5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3" fillId="6" borderId="5" xfId="0" applyFont="true" applyBorder="true" applyAlignment="true" applyProtection="tru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65F46"/>
      <rgbColor rgb="FF000080"/>
      <rgbColor rgb="FF65A30D"/>
      <rgbColor rgb="FF800080"/>
      <rgbColor rgb="FF047857"/>
      <rgbColor rgb="FFC0C0C0"/>
      <rgbColor rgb="FF878787"/>
      <rgbColor rgb="FF9999FF"/>
      <rgbColor rgb="FFBE185D"/>
      <rgbColor rgb="FFF8FAF8"/>
      <rgbColor rgb="FFECFDF5"/>
      <rgbColor rgb="FF660066"/>
      <rgbColor rgb="FFD97706"/>
      <rgbColor rgb="FF0284C7"/>
      <rgbColor rgb="FFD9D9D9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2563EB"/>
      <rgbColor rgb="FF0891B2"/>
      <rgbColor rgb="FF99CC00"/>
      <rgbColor rgb="FFFFCC00"/>
      <rgbColor rgb="FFCA8A04"/>
      <rgbColor rgb="FFEA580C"/>
      <rgbColor rgb="FF4F81BD"/>
      <rgbColor rgb="FF969696"/>
      <rgbColor rgb="FF003366"/>
      <rgbColor rgb="FF16A34A"/>
      <rgbColor rgb="FF003300"/>
      <rgbColor rgb="FF333300"/>
      <rgbColor rgb="FF991B1B"/>
      <rgbColor rgb="FFB45309"/>
      <rgbColor rgb="FF7C3AED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'Monthly Budget'!C16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c262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580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9770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a8a04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5a30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16a34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891b2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284c7"/>
              </a:solidFill>
              <a:ln w="0">
                <a:noFill/>
              </a:ln>
            </c:spPr>
          </c:dPt>
          <c:dPt>
            <c:idx val="8"/>
            <c:spPr>
              <a:solidFill>
                <a:srgbClr val="2563eb"/>
              </a:solidFill>
              <a:ln w="0">
                <a:noFill/>
              </a:ln>
            </c:spPr>
          </c:dPt>
          <c:dPt>
            <c:idx val="9"/>
            <c:spPr>
              <a:solidFill>
                <a:srgbClr val="7c3ae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be185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'Monthly Budget'!$A$17:$A$27</c:f>
              <c:strCache>
                <c:ptCount val="11"/>
                <c:pt idx="0">
                  <c:v>Housing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Healthcare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Dining out</c:v>
                </c:pt>
                <c:pt idx="9">
                  <c:v>Savings &amp; Investments</c:v>
                </c:pt>
                <c:pt idx="10">
                  <c:v>Misc/Buffer</c:v>
                </c:pt>
              </c:strCache>
            </c:strRef>
          </c:cat>
          <c:val>
            <c:numRef>
              <c:f>'Monthly Budget'!$C$17:$C$27</c:f>
              <c:numCache>
                <c:formatCode>\$#,##0;"($"#,##0\);\-</c:formatCode>
                <c:ptCount val="11"/>
                <c:pt idx="0">
                  <c:v>2200</c:v>
                </c:pt>
                <c:pt idx="1">
                  <c:v>310</c:v>
                </c:pt>
                <c:pt idx="2">
                  <c:v>742</c:v>
                </c:pt>
                <c:pt idx="3">
                  <c:v>385</c:v>
                </c:pt>
                <c:pt idx="4">
                  <c:v>480</c:v>
                </c:pt>
                <c:pt idx="5">
                  <c:v>210</c:v>
                </c:pt>
                <c:pt idx="6">
                  <c:v>348</c:v>
                </c:pt>
                <c:pt idx="7">
                  <c:v>178</c:v>
                </c:pt>
                <c:pt idx="8">
                  <c:v>418</c:v>
                </c:pt>
                <c:pt idx="9">
                  <c:v>1500</c:v>
                </c:pt>
                <c:pt idx="10">
                  <c:v>265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(Expenses)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'Monthly Budget'!B16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0596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Budget'!$A$17:$A$27</c:f>
              <c:strCache>
                <c:ptCount val="11"/>
                <c:pt idx="0">
                  <c:v>Housing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Healthcare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Dining out</c:v>
                </c:pt>
                <c:pt idx="9">
                  <c:v>Savings &amp; Investments</c:v>
                </c:pt>
                <c:pt idx="10">
                  <c:v>Misc/Buffer</c:v>
                </c:pt>
              </c:strCache>
            </c:strRef>
          </c:cat>
          <c:val>
            <c:numRef>
              <c:f>'Monthly Budget'!$B$17:$B$27</c:f>
              <c:numCache>
                <c:formatCode>\$#,##0;"($"#,##0\);\-</c:formatCode>
                <c:ptCount val="11"/>
                <c:pt idx="0">
                  <c:v>2200</c:v>
                </c:pt>
                <c:pt idx="1">
                  <c:v>280</c:v>
                </c:pt>
                <c:pt idx="2">
                  <c:v>680</c:v>
                </c:pt>
                <c:pt idx="3">
                  <c:v>420</c:v>
                </c:pt>
                <c:pt idx="4">
                  <c:v>480</c:v>
                </c:pt>
                <c:pt idx="5">
                  <c:v>180</c:v>
                </c:pt>
                <c:pt idx="6">
                  <c:v>250</c:v>
                </c:pt>
                <c:pt idx="7">
                  <c:v>165</c:v>
                </c:pt>
                <c:pt idx="8">
                  <c:v>340</c:v>
                </c:pt>
                <c:pt idx="9">
                  <c:v>1500</c:v>
                </c:pt>
                <c:pt idx="10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'Monthly Budget'!C16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b4530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Budget'!$A$17:$A$27</c:f>
              <c:strCache>
                <c:ptCount val="11"/>
                <c:pt idx="0">
                  <c:v>Housing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Healthcare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Dining out</c:v>
                </c:pt>
                <c:pt idx="9">
                  <c:v>Savings &amp; Investments</c:v>
                </c:pt>
                <c:pt idx="10">
                  <c:v>Misc/Buffer</c:v>
                </c:pt>
              </c:strCache>
            </c:strRef>
          </c:cat>
          <c:val>
            <c:numRef>
              <c:f>'Monthly Budget'!$C$17:$C$27</c:f>
              <c:numCache>
                <c:formatCode>\$#,##0;"($"#,##0\);\-</c:formatCode>
                <c:ptCount val="11"/>
                <c:pt idx="0">
                  <c:v>2200</c:v>
                </c:pt>
                <c:pt idx="1">
                  <c:v>310</c:v>
                </c:pt>
                <c:pt idx="2">
                  <c:v>742</c:v>
                </c:pt>
                <c:pt idx="3">
                  <c:v>385</c:v>
                </c:pt>
                <c:pt idx="4">
                  <c:v>480</c:v>
                </c:pt>
                <c:pt idx="5">
                  <c:v>210</c:v>
                </c:pt>
                <c:pt idx="6">
                  <c:v>348</c:v>
                </c:pt>
                <c:pt idx="7">
                  <c:v>178</c:v>
                </c:pt>
                <c:pt idx="8">
                  <c:v>418</c:v>
                </c:pt>
                <c:pt idx="9">
                  <c:v>1500</c:v>
                </c:pt>
                <c:pt idx="10">
                  <c:v>265</c:v>
                </c:pt>
              </c:numCache>
            </c:numRef>
          </c:val>
        </c:ser>
        <c:gapWidth val="150"/>
        <c:overlap val="0"/>
        <c:axId val="96600442"/>
        <c:axId val="69911575"/>
      </c:barChart>
      <c:catAx>
        <c:axId val="966004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11575"/>
        <c:crosses val="autoZero"/>
        <c:auto val="1"/>
        <c:lblAlgn val="ctr"/>
        <c:lblOffset val="100"/>
        <c:noMultiLvlLbl val="0"/>
      </c:catAx>
      <c:valAx>
        <c:axId val="69911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00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0</xdr:rowOff>
    </xdr:from>
    <xdr:to>
      <xdr:col>3</xdr:col>
      <xdr:colOff>434880</xdr:colOff>
      <xdr:row>51</xdr:row>
      <xdr:rowOff>720</xdr:rowOff>
    </xdr:to>
    <xdr:graphicFrame>
      <xdr:nvGraphicFramePr>
        <xdr:cNvPr id="0" name="Chart 1"/>
        <xdr:cNvGraphicFramePr/>
      </xdr:nvGraphicFramePr>
      <xdr:xfrm>
        <a:off x="0" y="9934560"/>
        <a:ext cx="39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34</xdr:row>
      <xdr:rowOff>0</xdr:rowOff>
    </xdr:from>
    <xdr:to>
      <xdr:col>9</xdr:col>
      <xdr:colOff>136080</xdr:colOff>
      <xdr:row>51</xdr:row>
      <xdr:rowOff>720</xdr:rowOff>
    </xdr:to>
    <xdr:graphicFrame>
      <xdr:nvGraphicFramePr>
        <xdr:cNvPr id="1" name="Chart 2"/>
        <xdr:cNvGraphicFramePr/>
      </xdr:nvGraphicFramePr>
      <xdr:xfrm>
        <a:off x="4511160" y="9934560"/>
        <a:ext cx="43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3"/>
      <c r="I2" s="3"/>
      <c r="J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5.5" hidden="false" customHeight="true" outlineLevel="0" collapsed="false">
      <c r="A4" s="5" t="s">
        <v>2</v>
      </c>
      <c r="B4" s="5"/>
      <c r="C4" s="6" t="s">
        <v>3</v>
      </c>
      <c r="D4" s="6"/>
      <c r="E4" s="7" t="s">
        <v>4</v>
      </c>
      <c r="F4" s="7"/>
      <c r="G4" s="8" t="s">
        <v>5</v>
      </c>
      <c r="H4" s="3"/>
      <c r="I4" s="3"/>
      <c r="J4" s="3"/>
    </row>
    <row r="5" customFormat="false" ht="45.75" hidden="false" customHeight="true" outlineLevel="0" collapsed="false">
      <c r="A5" s="9" t="n">
        <f aca="false">C13</f>
        <v>9760</v>
      </c>
      <c r="B5" s="9"/>
      <c r="C5" s="9" t="n">
        <f aca="false">C28</f>
        <v>7036</v>
      </c>
      <c r="D5" s="9"/>
      <c r="E5" s="9" t="n">
        <f aca="false">C13-C28</f>
        <v>2724</v>
      </c>
      <c r="F5" s="9"/>
      <c r="G5" s="10" t="n">
        <f aca="false">(C13-C28)/C13</f>
        <v>0.279098360655738</v>
      </c>
      <c r="H5" s="3"/>
      <c r="I5" s="3"/>
      <c r="J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25.5" hidden="false" customHeight="true" outlineLevel="0" collapsed="false">
      <c r="A7" s="11" t="s">
        <v>6</v>
      </c>
      <c r="B7" s="11"/>
      <c r="C7" s="11"/>
      <c r="D7" s="11"/>
      <c r="E7" s="11"/>
      <c r="F7" s="11"/>
      <c r="G7" s="11"/>
      <c r="H7" s="3"/>
      <c r="I7" s="3"/>
      <c r="J7" s="3"/>
    </row>
    <row r="8" customFormat="false" ht="27.75" hidden="false" customHeight="true" outlineLevel="0" collapsed="false">
      <c r="A8" s="12" t="s">
        <v>7</v>
      </c>
      <c r="B8" s="12" t="s">
        <v>8</v>
      </c>
      <c r="C8" s="12" t="s">
        <v>9</v>
      </c>
      <c r="D8" s="12" t="s">
        <v>10</v>
      </c>
      <c r="E8" s="12" t="s">
        <v>11</v>
      </c>
      <c r="F8" s="13"/>
      <c r="G8" s="13"/>
      <c r="H8" s="3"/>
      <c r="I8" s="3"/>
      <c r="J8" s="3"/>
    </row>
    <row r="9" customFormat="false" ht="21.75" hidden="false" customHeight="true" outlineLevel="0" collapsed="false">
      <c r="A9" s="14" t="s">
        <v>12</v>
      </c>
      <c r="B9" s="15" t="n">
        <v>6500</v>
      </c>
      <c r="C9" s="15" t="n">
        <v>6500</v>
      </c>
      <c r="D9" s="15" t="n">
        <f aca="false">C9-B9</f>
        <v>0</v>
      </c>
      <c r="E9" s="16" t="n">
        <f aca="false">C9/$C$13</f>
        <v>0.665983606557377</v>
      </c>
      <c r="F9" s="3"/>
      <c r="G9" s="3"/>
      <c r="H9" s="3"/>
      <c r="I9" s="3"/>
      <c r="J9" s="3"/>
    </row>
    <row r="10" customFormat="false" ht="21.75" hidden="false" customHeight="true" outlineLevel="0" collapsed="false">
      <c r="A10" s="17" t="s">
        <v>13</v>
      </c>
      <c r="B10" s="18" t="n">
        <v>2200</v>
      </c>
      <c r="C10" s="18" t="n">
        <v>2680</v>
      </c>
      <c r="D10" s="18" t="n">
        <f aca="false">C10-B10</f>
        <v>480</v>
      </c>
      <c r="E10" s="19" t="n">
        <f aca="false">C10/$C$13</f>
        <v>0.274590163934426</v>
      </c>
      <c r="F10" s="3"/>
      <c r="G10" s="3"/>
      <c r="H10" s="3"/>
      <c r="I10" s="3"/>
      <c r="J10" s="3"/>
    </row>
    <row r="11" customFormat="false" ht="21.75" hidden="false" customHeight="true" outlineLevel="0" collapsed="false">
      <c r="A11" s="14" t="s">
        <v>14</v>
      </c>
      <c r="B11" s="15" t="n">
        <v>380</v>
      </c>
      <c r="C11" s="15" t="n">
        <v>420</v>
      </c>
      <c r="D11" s="15" t="n">
        <f aca="false">C11-B11</f>
        <v>40</v>
      </c>
      <c r="E11" s="16" t="n">
        <f aca="false">C11/$C$13</f>
        <v>0.0430327868852459</v>
      </c>
      <c r="F11" s="3"/>
      <c r="G11" s="3"/>
      <c r="H11" s="3"/>
      <c r="I11" s="3"/>
      <c r="J11" s="3"/>
    </row>
    <row r="12" customFormat="false" ht="21.75" hidden="false" customHeight="true" outlineLevel="0" collapsed="false">
      <c r="A12" s="17" t="s">
        <v>15</v>
      </c>
      <c r="B12" s="18" t="n">
        <v>100</v>
      </c>
      <c r="C12" s="18" t="n">
        <v>160</v>
      </c>
      <c r="D12" s="18" t="n">
        <f aca="false">C12-B12</f>
        <v>60</v>
      </c>
      <c r="E12" s="19" t="n">
        <f aca="false">C12/$C$13</f>
        <v>0.0163934426229508</v>
      </c>
      <c r="F12" s="3"/>
      <c r="G12" s="3"/>
      <c r="H12" s="3"/>
      <c r="I12" s="3"/>
      <c r="J12" s="3"/>
    </row>
    <row r="13" customFormat="false" ht="25.5" hidden="false" customHeight="true" outlineLevel="0" collapsed="false">
      <c r="A13" s="20" t="s">
        <v>16</v>
      </c>
      <c r="B13" s="21" t="n">
        <f aca="false">SUM(B9:B12)</f>
        <v>9180</v>
      </c>
      <c r="C13" s="21" t="n">
        <f aca="false">SUM(C9:C12)</f>
        <v>9760</v>
      </c>
      <c r="D13" s="21" t="n">
        <f aca="false">C13-B13</f>
        <v>580</v>
      </c>
      <c r="E13" s="22" t="n">
        <v>1</v>
      </c>
      <c r="F13" s="3"/>
      <c r="G13" s="3"/>
      <c r="H13" s="3"/>
      <c r="I13" s="3"/>
      <c r="J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25.5" hidden="false" customHeight="true" outlineLevel="0" collapsed="false">
      <c r="A15" s="11" t="s">
        <v>17</v>
      </c>
      <c r="B15" s="11"/>
      <c r="C15" s="11"/>
      <c r="D15" s="11"/>
      <c r="E15" s="11"/>
      <c r="F15" s="11"/>
      <c r="G15" s="11"/>
      <c r="H15" s="3"/>
      <c r="I15" s="3"/>
      <c r="J15" s="3"/>
    </row>
    <row r="16" customFormat="false" ht="27.75" hidden="false" customHeight="true" outlineLevel="0" collapsed="false">
      <c r="A16" s="12" t="s">
        <v>18</v>
      </c>
      <c r="B16" s="12" t="s">
        <v>8</v>
      </c>
      <c r="C16" s="12" t="s">
        <v>9</v>
      </c>
      <c r="D16" s="12" t="s">
        <v>10</v>
      </c>
      <c r="E16" s="12" t="s">
        <v>19</v>
      </c>
      <c r="F16" s="13"/>
      <c r="G16" s="13"/>
      <c r="H16" s="3"/>
      <c r="I16" s="3"/>
      <c r="J16" s="3"/>
    </row>
    <row r="17" customFormat="false" ht="21.75" hidden="false" customHeight="true" outlineLevel="0" collapsed="false">
      <c r="A17" s="14" t="s">
        <v>20</v>
      </c>
      <c r="B17" s="15" t="n">
        <v>2200</v>
      </c>
      <c r="C17" s="15" t="n">
        <v>2200</v>
      </c>
      <c r="D17" s="15" t="n">
        <f aca="false">B17-C17</f>
        <v>0</v>
      </c>
      <c r="E17" s="16" t="n">
        <f aca="false">C17/$C$13</f>
        <v>0.225409836065574</v>
      </c>
      <c r="F17" s="3"/>
      <c r="G17" s="3"/>
      <c r="H17" s="3"/>
      <c r="I17" s="3"/>
      <c r="J17" s="3"/>
    </row>
    <row r="18" customFormat="false" ht="21.75" hidden="false" customHeight="true" outlineLevel="0" collapsed="false">
      <c r="A18" s="17" t="s">
        <v>21</v>
      </c>
      <c r="B18" s="18" t="n">
        <v>280</v>
      </c>
      <c r="C18" s="18" t="n">
        <v>310</v>
      </c>
      <c r="D18" s="18" t="n">
        <f aca="false">B18-C18</f>
        <v>-30</v>
      </c>
      <c r="E18" s="19" t="n">
        <f aca="false">C18/$C$13</f>
        <v>0.0317622950819672</v>
      </c>
      <c r="F18" s="3"/>
      <c r="G18" s="3"/>
      <c r="H18" s="3"/>
      <c r="I18" s="3"/>
      <c r="J18" s="3"/>
    </row>
    <row r="19" customFormat="false" ht="21.75" hidden="false" customHeight="true" outlineLevel="0" collapsed="false">
      <c r="A19" s="14" t="s">
        <v>22</v>
      </c>
      <c r="B19" s="15" t="n">
        <v>680</v>
      </c>
      <c r="C19" s="15" t="n">
        <v>742</v>
      </c>
      <c r="D19" s="15" t="n">
        <f aca="false">B19-C19</f>
        <v>-62</v>
      </c>
      <c r="E19" s="16" t="n">
        <f aca="false">C19/$C$13</f>
        <v>0.0760245901639344</v>
      </c>
      <c r="F19" s="3"/>
      <c r="G19" s="3"/>
      <c r="H19" s="3"/>
      <c r="I19" s="3"/>
      <c r="J19" s="3"/>
    </row>
    <row r="20" customFormat="false" ht="21.75" hidden="false" customHeight="true" outlineLevel="0" collapsed="false">
      <c r="A20" s="17" t="s">
        <v>23</v>
      </c>
      <c r="B20" s="18" t="n">
        <v>420</v>
      </c>
      <c r="C20" s="18" t="n">
        <v>385</v>
      </c>
      <c r="D20" s="18" t="n">
        <f aca="false">B20-C20</f>
        <v>35</v>
      </c>
      <c r="E20" s="19" t="n">
        <f aca="false">C20/$C$13</f>
        <v>0.0394467213114754</v>
      </c>
      <c r="F20" s="3"/>
      <c r="G20" s="3"/>
      <c r="H20" s="3"/>
      <c r="I20" s="3"/>
      <c r="J20" s="3"/>
    </row>
    <row r="21" customFormat="false" ht="21.75" hidden="false" customHeight="true" outlineLevel="0" collapsed="false">
      <c r="A21" s="14" t="s">
        <v>24</v>
      </c>
      <c r="B21" s="15" t="n">
        <v>480</v>
      </c>
      <c r="C21" s="15" t="n">
        <v>480</v>
      </c>
      <c r="D21" s="15" t="n">
        <f aca="false">B21-C21</f>
        <v>0</v>
      </c>
      <c r="E21" s="16" t="n">
        <f aca="false">C21/$C$13</f>
        <v>0.0491803278688525</v>
      </c>
      <c r="F21" s="3"/>
      <c r="G21" s="3"/>
      <c r="H21" s="3"/>
      <c r="I21" s="3"/>
      <c r="J21" s="3"/>
    </row>
    <row r="22" customFormat="false" ht="21.75" hidden="false" customHeight="true" outlineLevel="0" collapsed="false">
      <c r="A22" s="17" t="s">
        <v>25</v>
      </c>
      <c r="B22" s="18" t="n">
        <v>180</v>
      </c>
      <c r="C22" s="18" t="n">
        <v>210</v>
      </c>
      <c r="D22" s="18" t="n">
        <f aca="false">B22-C22</f>
        <v>-30</v>
      </c>
      <c r="E22" s="19" t="n">
        <f aca="false">C22/$C$13</f>
        <v>0.021516393442623</v>
      </c>
      <c r="F22" s="3"/>
      <c r="G22" s="3"/>
      <c r="H22" s="3"/>
      <c r="I22" s="3"/>
      <c r="J22" s="3"/>
    </row>
    <row r="23" customFormat="false" ht="21.75" hidden="false" customHeight="true" outlineLevel="0" collapsed="false">
      <c r="A23" s="14" t="s">
        <v>26</v>
      </c>
      <c r="B23" s="15" t="n">
        <v>250</v>
      </c>
      <c r="C23" s="15" t="n">
        <v>348</v>
      </c>
      <c r="D23" s="15" t="n">
        <f aca="false">B23-C23</f>
        <v>-98</v>
      </c>
      <c r="E23" s="16" t="n">
        <f aca="false">C23/$C$13</f>
        <v>0.035655737704918</v>
      </c>
      <c r="F23" s="3"/>
      <c r="G23" s="3"/>
      <c r="H23" s="3"/>
      <c r="I23" s="3"/>
      <c r="J23" s="3"/>
    </row>
    <row r="24" customFormat="false" ht="21.75" hidden="false" customHeight="true" outlineLevel="0" collapsed="false">
      <c r="A24" s="17" t="s">
        <v>27</v>
      </c>
      <c r="B24" s="18" t="n">
        <v>165</v>
      </c>
      <c r="C24" s="18" t="n">
        <v>178</v>
      </c>
      <c r="D24" s="18" t="n">
        <f aca="false">B24-C24</f>
        <v>-13</v>
      </c>
      <c r="E24" s="19" t="n">
        <f aca="false">C24/$C$13</f>
        <v>0.0182377049180328</v>
      </c>
      <c r="F24" s="3"/>
      <c r="G24" s="3"/>
      <c r="H24" s="3"/>
      <c r="I24" s="3"/>
      <c r="J24" s="3"/>
    </row>
    <row r="25" customFormat="false" ht="21.75" hidden="false" customHeight="true" outlineLevel="0" collapsed="false">
      <c r="A25" s="14" t="s">
        <v>28</v>
      </c>
      <c r="B25" s="15" t="n">
        <v>340</v>
      </c>
      <c r="C25" s="15" t="n">
        <v>418</v>
      </c>
      <c r="D25" s="15" t="n">
        <f aca="false">B25-C25</f>
        <v>-78</v>
      </c>
      <c r="E25" s="16" t="n">
        <f aca="false">C25/$C$13</f>
        <v>0.042827868852459</v>
      </c>
      <c r="F25" s="3"/>
      <c r="G25" s="3"/>
      <c r="H25" s="3"/>
      <c r="I25" s="3"/>
      <c r="J25" s="3"/>
    </row>
    <row r="26" customFormat="false" ht="21.75" hidden="false" customHeight="true" outlineLevel="0" collapsed="false">
      <c r="A26" s="17" t="s">
        <v>29</v>
      </c>
      <c r="B26" s="18" t="n">
        <v>1500</v>
      </c>
      <c r="C26" s="18" t="n">
        <v>1500</v>
      </c>
      <c r="D26" s="18" t="n">
        <f aca="false">B26-C26</f>
        <v>0</v>
      </c>
      <c r="E26" s="19" t="n">
        <f aca="false">C26/$C$13</f>
        <v>0.153688524590164</v>
      </c>
      <c r="F26" s="3"/>
      <c r="G26" s="3"/>
      <c r="H26" s="3"/>
      <c r="I26" s="3"/>
      <c r="J26" s="3"/>
    </row>
    <row r="27" customFormat="false" ht="21.75" hidden="false" customHeight="true" outlineLevel="0" collapsed="false">
      <c r="A27" s="14" t="s">
        <v>30</v>
      </c>
      <c r="B27" s="15" t="n">
        <v>300</v>
      </c>
      <c r="C27" s="15" t="n">
        <v>265</v>
      </c>
      <c r="D27" s="15" t="n">
        <f aca="false">B27-C27</f>
        <v>35</v>
      </c>
      <c r="E27" s="16" t="n">
        <f aca="false">C27/$C$13</f>
        <v>0.0271516393442623</v>
      </c>
      <c r="F27" s="3"/>
      <c r="G27" s="3"/>
      <c r="H27" s="3"/>
      <c r="I27" s="3"/>
      <c r="J27" s="3"/>
    </row>
    <row r="28" customFormat="false" ht="25.5" hidden="false" customHeight="true" outlineLevel="0" collapsed="false">
      <c r="A28" s="20" t="s">
        <v>31</v>
      </c>
      <c r="B28" s="21" t="n">
        <f aca="false">SUM(B17:B27)</f>
        <v>6795</v>
      </c>
      <c r="C28" s="21" t="n">
        <f aca="false">SUM(C17:C27)</f>
        <v>7036</v>
      </c>
      <c r="D28" s="21" t="n">
        <f aca="false">B28-C28</f>
        <v>-241</v>
      </c>
      <c r="E28" s="22" t="n">
        <f aca="false">C28/$C$13</f>
        <v>0.720901639344262</v>
      </c>
      <c r="F28" s="3"/>
      <c r="G28" s="3"/>
      <c r="H28" s="3"/>
      <c r="I28" s="3"/>
      <c r="J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36" hidden="false" customHeight="true" outlineLevel="0" collapsed="false">
      <c r="A30" s="23" t="s">
        <v>4</v>
      </c>
      <c r="B30" s="24" t="n">
        <f aca="false">B13-B28</f>
        <v>2385</v>
      </c>
      <c r="C30" s="24" t="n">
        <f aca="false">C13-C28</f>
        <v>2724</v>
      </c>
      <c r="D30" s="24" t="n">
        <f aca="false">C30-B30</f>
        <v>339</v>
      </c>
      <c r="E30" s="3"/>
      <c r="F30" s="3"/>
      <c r="G30" s="3"/>
      <c r="H30" s="3"/>
      <c r="I30" s="3"/>
      <c r="J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25.5" hidden="false" customHeight="true" outlineLevel="0" collapsed="false">
      <c r="A33" s="11" t="s">
        <v>32</v>
      </c>
      <c r="B33" s="11"/>
      <c r="C33" s="11"/>
      <c r="D33" s="11"/>
      <c r="E33" s="11"/>
      <c r="F33" s="11"/>
      <c r="G33" s="11"/>
      <c r="H33" s="3"/>
      <c r="I33" s="3"/>
      <c r="J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</sheetData>
  <mergeCells count="11">
    <mergeCell ref="A1:G1"/>
    <mergeCell ref="A2:G2"/>
    <mergeCell ref="A4:B4"/>
    <mergeCell ref="C4:D4"/>
    <mergeCell ref="E4:F4"/>
    <mergeCell ref="A5:B5"/>
    <mergeCell ref="C5:D5"/>
    <mergeCell ref="E5:F5"/>
    <mergeCell ref="A7:G7"/>
    <mergeCell ref="A15:G15"/>
    <mergeCell ref="A33:G33"/>
  </mergeCells>
  <conditionalFormatting sqref="D13:D23">
    <cfRule type="colorScale" priority="2">
      <colorScale>
        <cfvo type="min" val="0"/>
        <cfvo type="num" val="0"/>
        <cfvo type="max" val="0"/>
        <color rgb="FFFFC7CE"/>
        <color rgb="FFFFFFFF"/>
        <color rgb="FFC6EFCE"/>
      </colorScale>
    </cfRule>
  </conditionalFormatting>
  <conditionalFormatting sqref="D9:D12">
    <cfRule type="cellIs" priority="3" operator="greaterThan" aboveAverage="0" equalAverage="0" bottom="0" percent="0" rank="0" text="" dxfId="0">
      <formula>0</formula>
    </cfRule>
    <cfRule type="cellIs" priority="4" operator="lessThan" aboveAverage="0" equalAverage="0" bottom="0" percent="0" rank="0" text="" dxfId="1">
      <formula>0</formula>
    </cfRule>
  </conditionalFormatting>
  <conditionalFormatting sqref="C9:C12">
    <cfRule type="dataBar" priority="5">
      <dataBar showValue="1" minLength="10" maxLength="90">
        <cfvo type="min" val="0"/>
        <cfvo type="max" val="0"/>
        <color rgb="FF059669"/>
      </dataBar>
      <extLst>
        <ext xmlns:x14="http://schemas.microsoft.com/office/spreadsheetml/2009/9/main" uri="{B025F937-C7B1-47D3-B67F-A62EFF666E3E}">
          <x14:id>{BD60C086-C395-4D39-97DF-E88682A292FC}</x14:id>
        </ext>
      </extLst>
    </cfRule>
  </conditionalFormatting>
  <conditionalFormatting sqref="D17:D27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C17:C27">
    <cfRule type="dataBar" priority="8">
      <dataBar showValue="1" minLength="10" maxLength="90">
        <cfvo type="min" val="0"/>
        <cfvo type="max" val="0"/>
        <color rgb="FFDC2626"/>
      </dataBar>
      <extLst>
        <ext xmlns:x14="http://schemas.microsoft.com/office/spreadsheetml/2009/9/main" uri="{B025F937-C7B1-47D3-B67F-A62EFF666E3E}">
          <x14:id>{199719B4-7466-4DE9-B958-91A2A8176E42}</x14:id>
        </ext>
      </extLst>
    </cfRule>
  </conditionalFormatting>
  <conditionalFormatting sqref="E17:E27">
    <cfRule type="colorScale" priority="9">
      <colorScale>
        <cfvo type="min" val="0"/>
        <cfvo type="percentile" val="50"/>
        <cfvo type="max" val="0"/>
        <color rgb="FFD1FAE5"/>
        <color rgb="FFFEF3C7"/>
        <color rgb="FFFEE2E2"/>
      </colorScale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60C086-C395-4D39-97DF-E88682A292FC}">
            <x14:dataBar minLength="10" maxLength="90" axisPosition="none" gradient="true">
              <x14:cfvo type="min"/>
              <x14:cfvo type="max"/>
              <x14:negativeFillColor rgb="FF059669"/>
              <x14:axisColor rgb="FF000000"/>
            </x14:dataBar>
          </x14:cfRule>
          <xm:sqref>C9:C12</xm:sqref>
        </x14:conditionalFormatting>
        <x14:conditionalFormatting xmlns:xm="http://schemas.microsoft.com/office/excel/2006/main">
          <x14:cfRule type="dataBar" id="{199719B4-7466-4DE9-B958-91A2A8176E42}">
            <x14:dataBar minLength="10" maxLength="90" axisPosition="none" gradient="true">
              <x14:cfvo type="min"/>
              <x14:cfvo type="max"/>
              <x14:negativeFillColor rgb="FFDC2626"/>
              <x14:axisColor rgb="FF000000"/>
            </x14:dataBar>
          </x14:cfRule>
          <xm:sqref>C17:C27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2026-05-10T11:00:22Z</dcterms:created>
  <dc:creator>openpyxl</dc:creator>
  <dc:description/>
  <dc:language>en-US</dc:language>
  <cp:lastModifiedBy/>
  <dcterms:modified xsi:type="dcterms:W3CDTF">2026-05-17T17:12:28Z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