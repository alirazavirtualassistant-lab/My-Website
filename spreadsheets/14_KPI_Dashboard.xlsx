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website\spreadsheets\"/>
    </mc:Choice>
  </mc:AlternateContent>
  <xr:revisionPtr revIDLastSave="0" documentId="13_ncr:1_{B4CBC3BA-8303-4C2C-8AC1-60E52DAA3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O26" i="1"/>
  <c r="N26" i="1"/>
  <c r="L65" i="1"/>
  <c r="K65" i="1"/>
  <c r="J65" i="1"/>
  <c r="F65" i="1"/>
  <c r="E65" i="1"/>
  <c r="D65" i="1"/>
  <c r="C65" i="1"/>
  <c r="E64" i="1"/>
  <c r="E63" i="1"/>
  <c r="E62" i="1"/>
  <c r="E61" i="1"/>
  <c r="E60" i="1"/>
  <c r="E59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L26" i="1"/>
  <c r="K26" i="1"/>
  <c r="H22" i="1"/>
  <c r="G22" i="1"/>
  <c r="F22" i="1"/>
  <c r="E22" i="1"/>
  <c r="D22" i="1"/>
  <c r="C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F13" i="1"/>
  <c r="E13" i="1"/>
  <c r="D13" i="1"/>
  <c r="C13" i="1"/>
  <c r="H12" i="1"/>
  <c r="G12" i="1"/>
  <c r="H11" i="1"/>
  <c r="G11" i="1"/>
</calcChain>
</file>

<file path=xl/sharedStrings.xml><?xml version="1.0" encoding="utf-8"?>
<sst xmlns="http://schemas.openxmlformats.org/spreadsheetml/2006/main" count="83" uniqueCount="76">
  <si>
    <t>KPI</t>
  </si>
  <si>
    <t>2026 YTD</t>
  </si>
  <si>
    <t>Target</t>
  </si>
  <si>
    <t>Status</t>
  </si>
  <si>
    <t>Total orders</t>
  </si>
  <si>
    <t>Avg rating</t>
  </si>
  <si>
    <t>On-time delivery %</t>
  </si>
  <si>
    <t>Repeat client %</t>
  </si>
  <si>
    <t>Avg response time (hrs)</t>
  </si>
  <si>
    <t>Revenue ($)</t>
  </si>
  <si>
    <t>FIVERR PERFORMANCE DASHBOARD</t>
  </si>
  <si>
    <t>FY2024 → FY2026 YTD</t>
  </si>
  <si>
    <t>Freelance operations, client mix, delivery performance &amp; revenue analytics</t>
  </si>
  <si>
    <t>TOTAL ORDERS</t>
  </si>
  <si>
    <t>▲ +21.4% vs 2024</t>
  </si>
  <si>
    <t>REVENUE (USD)</t>
  </si>
  <si>
    <t>▲ +50.0% vs 2024</t>
  </si>
  <si>
    <t>AVG RATING</t>
  </si>
  <si>
    <t>▲ +0.10 pts</t>
  </si>
  <si>
    <t>ON-TIME DELIVERY</t>
  </si>
  <si>
    <t>▲ +5.0 pts</t>
  </si>
  <si>
    <t>REPEAT CLIENTS</t>
  </si>
  <si>
    <t>▲ +9.0 pts</t>
  </si>
  <si>
    <t>AVG RESPONSE</t>
  </si>
  <si>
    <t>▼ -28% (faster)</t>
  </si>
  <si>
    <t>PERFORMANCE SUMMARY</t>
  </si>
  <si>
    <t>YoY %</t>
  </si>
  <si>
    <t>Avg order value ($)</t>
  </si>
  <si>
    <t>New clients acquired</t>
  </si>
  <si>
    <t>Cancellation rate %</t>
  </si>
  <si>
    <t>Profit margin %</t>
  </si>
  <si>
    <t>Profile views</t>
  </si>
  <si>
    <t>Conversion rate %</t>
  </si>
  <si>
    <t>MONTHLY PERFORMANCE TREND (Jan 2024 – Jun 2026)</t>
  </si>
  <si>
    <t>Month</t>
  </si>
  <si>
    <t>Orders</t>
  </si>
  <si>
    <t>Avg Rating</t>
  </si>
  <si>
    <t>On-Time %</t>
  </si>
  <si>
    <t>New Clients</t>
  </si>
  <si>
    <t>Cancellations</t>
  </si>
  <si>
    <t>Response (hrs)</t>
  </si>
  <si>
    <t>Profile Views</t>
  </si>
  <si>
    <t>AOV ($)</t>
  </si>
  <si>
    <t>Profit ($)</t>
  </si>
  <si>
    <t>REVENUE BY SERVICE CATEGORY (2025)</t>
  </si>
  <si>
    <t>Service Category</t>
  </si>
  <si>
    <t>Revenue</t>
  </si>
  <si>
    <t>Share %</t>
  </si>
  <si>
    <t>Web Development</t>
  </si>
  <si>
    <t>Logo &amp; Branding</t>
  </si>
  <si>
    <t>Content Writing</t>
  </si>
  <si>
    <t>SEO Services</t>
  </si>
  <si>
    <t>Video Editing</t>
  </si>
  <si>
    <t>Social Media Mgmt</t>
  </si>
  <si>
    <t>TOTAL</t>
  </si>
  <si>
    <t>TOP CLIENTS (Lifetime Value)</t>
  </si>
  <si>
    <t>Client</t>
  </si>
  <si>
    <t>Country</t>
  </si>
  <si>
    <t>Total Spend</t>
  </si>
  <si>
    <t>Rating</t>
  </si>
  <si>
    <t>Apex Digital Co.</t>
  </si>
  <si>
    <t>USA</t>
  </si>
  <si>
    <t>Nordic Brands AB</t>
  </si>
  <si>
    <t>Sweden</t>
  </si>
  <si>
    <t>Bayview Media</t>
  </si>
  <si>
    <t>Canada</t>
  </si>
  <si>
    <t>Sahara Ventures</t>
  </si>
  <si>
    <t>UAE</t>
  </si>
  <si>
    <t>Lotus Tech Pvt</t>
  </si>
  <si>
    <t>India</t>
  </si>
  <si>
    <t>Vista Realty Grp</t>
  </si>
  <si>
    <t>Australia</t>
  </si>
  <si>
    <t>VISUAL ANALYTICS</t>
  </si>
  <si>
    <t>4.80 ★</t>
  </si>
  <si>
    <t>Dashboard last refreshed: Auto-generated • Source: Fiverr account analytics (dummy data)</t>
  </si>
  <si>
    <t>1.00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</si>
</sst>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s&quot;#,##0;[Red]\-&quot;Rs&quot;#,##0"/>
    <numFmt numFmtId="164" formatCode="0.0%"/>
    <numFmt numFmtId="168" formatCode="0.0&quot; hrs&quot;"/>
    <numFmt numFmtId="169" formatCode="\+0.0%;\-0.0%;0.0%"/>
    <numFmt numFmtId="170" formatCode="0.00&quot; ★&quot;"/>
    <numFmt numFmtId="171" formatCode="[$$-409]#,##0"/>
    <numFmt numFmtId="172" formatCode="[$$-409]#,##0.00"/>
  </numFmts>
  <fonts count="16" x14ac:knownFonts="1">
    <font>
      <sz val="11"/>
      <color theme="1"/>
      <name val="Calibri"/>
      <family val="2"/>
      <scheme val="minor"/>
    </font>
    <font>
      <b/>
      <sz val="26"/>
      <color rgb="FFFFFFFF"/>
      <name val="Calibri"/>
      <scheme val="minor"/>
    </font>
    <font>
      <i/>
      <sz val="12"/>
      <color rgb="FFD4AF37"/>
      <name val="Calibri"/>
      <scheme val="minor"/>
    </font>
    <font>
      <i/>
      <sz val="11"/>
      <color rgb="FF8FA3C2"/>
      <name val="Calibri"/>
      <scheme val="minor"/>
    </font>
    <font>
      <b/>
      <sz val="10"/>
      <color rgb="FF8FA3C2"/>
      <name val="Calibri"/>
      <scheme val="minor"/>
    </font>
    <font>
      <b/>
      <sz val="22"/>
      <color rgb="FFFFFFFF"/>
      <name val="Calibri"/>
      <scheme val="minor"/>
    </font>
    <font>
      <b/>
      <sz val="10"/>
      <color rgb="FFD4AF37"/>
      <name val="Calibri"/>
      <scheme val="minor"/>
    </font>
    <font>
      <b/>
      <sz val="10"/>
      <color rgb="FF2ECC71"/>
      <name val="Calibri"/>
      <scheme val="minor"/>
    </font>
    <font>
      <b/>
      <sz val="10"/>
      <color rgb="FF3498DB"/>
      <name val="Calibri"/>
      <scheme val="minor"/>
    </font>
    <font>
      <b/>
      <sz val="13"/>
      <color rgb="FFD4AF37"/>
      <name val="Calibri"/>
      <scheme val="minor"/>
    </font>
    <font>
      <sz val="11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sz val="10"/>
      <color rgb="FFFFFFFF"/>
      <name val="Calibri"/>
      <scheme val="minor"/>
    </font>
    <font>
      <b/>
      <sz val="10"/>
      <color rgb="FFFFFFFF"/>
      <name val="Calibri"/>
      <scheme val="minor"/>
    </font>
    <font>
      <i/>
      <sz val="9"/>
      <color rgb="FF8FA3C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13294B"/>
        <bgColor indexed="64"/>
      </patternFill>
    </fill>
    <fill>
      <patternFill patternType="solid">
        <fgColor rgb="FF1F3A68"/>
        <bgColor indexed="64"/>
      </patternFill>
    </fill>
    <fill>
      <patternFill patternType="solid">
        <fgColor rgb="FF0F2348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D4AF37"/>
      </top>
      <bottom/>
      <diagonal/>
    </border>
    <border>
      <left/>
      <right/>
      <top style="thick">
        <color rgb="FF2ECC71"/>
      </top>
      <bottom/>
      <diagonal/>
    </border>
    <border>
      <left/>
      <right/>
      <top style="thick">
        <color rgb="FF3498DB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6" fontId="5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2" borderId="0" xfId="0" applyFont="1" applyFill="1"/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11" fillId="3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2" fontId="10" fillId="5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168" fontId="10" fillId="3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10" fontId="10" fillId="5" borderId="0" xfId="0" applyNumberFormat="1" applyFont="1" applyFill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169" fontId="11" fillId="5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17" fontId="14" fillId="3" borderId="0" xfId="0" applyNumberFormat="1" applyFont="1" applyFill="1" applyAlignment="1">
      <alignment horizontal="left" vertical="center"/>
    </xf>
    <xf numFmtId="17" fontId="14" fillId="5" borderId="0" xfId="0" applyNumberFormat="1" applyFont="1" applyFill="1" applyAlignment="1">
      <alignment horizontal="left" vertical="center"/>
    </xf>
    <xf numFmtId="3" fontId="13" fillId="3" borderId="0" xfId="0" applyNumberFormat="1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2" fontId="13" fillId="3" borderId="0" xfId="0" applyNumberFormat="1" applyFont="1" applyFill="1" applyAlignment="1">
      <alignment horizontal="center" vertical="center"/>
    </xf>
    <xf numFmtId="2" fontId="13" fillId="5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168" fontId="13" fillId="3" borderId="0" xfId="0" applyNumberFormat="1" applyFont="1" applyFill="1" applyAlignment="1">
      <alignment horizontal="center" vertical="center"/>
    </xf>
    <xf numFmtId="168" fontId="13" fillId="5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3" fontId="11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2" fontId="11" fillId="4" borderId="0" xfId="0" applyNumberFormat="1" applyFont="1" applyFill="1" applyAlignment="1">
      <alignment horizontal="center" vertical="center"/>
    </xf>
    <xf numFmtId="170" fontId="10" fillId="3" borderId="0" xfId="0" applyNumberFormat="1" applyFont="1" applyFill="1" applyAlignment="1">
      <alignment horizontal="center" vertical="center"/>
    </xf>
    <xf numFmtId="170" fontId="10" fillId="5" borderId="0" xfId="0" applyNumberFormat="1" applyFont="1" applyFill="1" applyAlignment="1">
      <alignment horizontal="center" vertical="center"/>
    </xf>
    <xf numFmtId="170" fontId="11" fillId="4" borderId="0" xfId="0" applyNumberFormat="1" applyFont="1" applyFill="1" applyAlignment="1">
      <alignment horizontal="center" vertical="center"/>
    </xf>
    <xf numFmtId="0" fontId="15" fillId="2" borderId="0" xfId="0" applyFont="1" applyFill="1"/>
    <xf numFmtId="171" fontId="10" fillId="5" borderId="0" xfId="0" applyNumberFormat="1" applyFont="1" applyFill="1" applyAlignment="1">
      <alignment horizontal="center" vertical="center"/>
    </xf>
    <xf numFmtId="172" fontId="10" fillId="3" borderId="0" xfId="0" applyNumberFormat="1" applyFont="1" applyFill="1" applyAlignment="1">
      <alignment horizontal="center" vertical="center"/>
    </xf>
    <xf numFmtId="171" fontId="13" fillId="3" borderId="0" xfId="0" applyNumberFormat="1" applyFont="1" applyFill="1" applyAlignment="1">
      <alignment horizontal="center" vertical="center"/>
    </xf>
    <xf numFmtId="171" fontId="13" fillId="5" borderId="0" xfId="0" applyNumberFormat="1" applyFont="1" applyFill="1" applyAlignment="1">
      <alignment horizontal="center" vertical="center"/>
    </xf>
    <xf numFmtId="172" fontId="13" fillId="3" borderId="0" xfId="0" applyNumberFormat="1" applyFont="1" applyFill="1" applyAlignment="1">
      <alignment horizontal="center" vertical="center"/>
    </xf>
    <xf numFmtId="172" fontId="13" fillId="5" borderId="0" xfId="0" applyNumberFormat="1" applyFont="1" applyFill="1" applyAlignment="1">
      <alignment horizontal="center" vertical="center"/>
    </xf>
    <xf numFmtId="171" fontId="10" fillId="3" borderId="0" xfId="0" applyNumberFormat="1" applyFont="1" applyFill="1" applyAlignment="1">
      <alignment horizontal="center" vertical="center"/>
    </xf>
    <xf numFmtId="171" fontId="11" fillId="4" borderId="0" xfId="0" applyNumberFormat="1" applyFont="1" applyFill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rgb="FFE74C3C"/>
      </font>
    </dxf>
    <dxf>
      <font>
        <b/>
        <i val="0"/>
        <color rgb="FF2ECC71"/>
      </font>
    </dxf>
    <dxf>
      <font>
        <b/>
        <i val="0"/>
        <color rgb="FFFFFFFF"/>
      </font>
      <fill>
        <patternFill patternType="solid">
          <fgColor indexed="64"/>
          <bgColor rgb="FFC0392B"/>
        </patternFill>
      </fill>
    </dxf>
    <dxf>
      <font>
        <b/>
        <i val="0"/>
        <color rgb="FFFFFFFF"/>
      </font>
      <fill>
        <patternFill patternType="solid">
          <fgColor indexed="64"/>
          <bgColor rgb="FF1E844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D4AF3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Revenue Trend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D4AF37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KPIs!$D$25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rgbClr val="D4AF3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KPIs!$B$26:$B$55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KPIs!$D$26:$D$55</c:f>
              <c:numCache>
                <c:formatCode>[$$-409]#,##0</c:formatCode>
                <c:ptCount val="30"/>
                <c:pt idx="0">
                  <c:v>520</c:v>
                </c:pt>
                <c:pt idx="1">
                  <c:v>580</c:v>
                </c:pt>
                <c:pt idx="2">
                  <c:v>640</c:v>
                </c:pt>
                <c:pt idx="3">
                  <c:v>700</c:v>
                </c:pt>
                <c:pt idx="4">
                  <c:v>660</c:v>
                </c:pt>
                <c:pt idx="5">
                  <c:v>760</c:v>
                </c:pt>
                <c:pt idx="6">
                  <c:v>720</c:v>
                </c:pt>
                <c:pt idx="7">
                  <c:v>820</c:v>
                </c:pt>
                <c:pt idx="8">
                  <c:v>780</c:v>
                </c:pt>
                <c:pt idx="9">
                  <c:v>880</c:v>
                </c:pt>
                <c:pt idx="10">
                  <c:v>720</c:v>
                </c:pt>
                <c:pt idx="11">
                  <c:v>720</c:v>
                </c:pt>
                <c:pt idx="12">
                  <c:v>840</c:v>
                </c:pt>
                <c:pt idx="13">
                  <c:v>920</c:v>
                </c:pt>
                <c:pt idx="14">
                  <c:v>980</c:v>
                </c:pt>
                <c:pt idx="15">
                  <c:v>1080</c:v>
                </c:pt>
                <c:pt idx="16">
                  <c:v>1010</c:v>
                </c:pt>
                <c:pt idx="17">
                  <c:v>1170</c:v>
                </c:pt>
                <c:pt idx="18">
                  <c:v>1080</c:v>
                </c:pt>
                <c:pt idx="19">
                  <c:v>1240</c:v>
                </c:pt>
                <c:pt idx="20">
                  <c:v>1090</c:v>
                </c:pt>
                <c:pt idx="21">
                  <c:v>1260</c:v>
                </c:pt>
                <c:pt idx="22">
                  <c:v>1020</c:v>
                </c:pt>
                <c:pt idx="23">
                  <c:v>910</c:v>
                </c:pt>
                <c:pt idx="24">
                  <c:v>880</c:v>
                </c:pt>
                <c:pt idx="25">
                  <c:v>990</c:v>
                </c:pt>
                <c:pt idx="26">
                  <c:v>1090</c:v>
                </c:pt>
                <c:pt idx="27">
                  <c:v>1110</c:v>
                </c:pt>
                <c:pt idx="28">
                  <c:v>1040</c:v>
                </c:pt>
                <c:pt idx="29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4-4CC2-A811-CE88EB750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388704"/>
        <c:axId val="1250394944"/>
      </c:lineChart>
      <c:dateAx>
        <c:axId val="1250388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394944"/>
        <c:crosses val="autoZero"/>
        <c:auto val="1"/>
        <c:lblOffset val="100"/>
        <c:baseTimeUnit val="months"/>
      </c:dateAx>
      <c:valAx>
        <c:axId val="12503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3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294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D4AF3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Orders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D4AF37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KPIs!$C$25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498DB"/>
            </a:solidFill>
            <a:ln>
              <a:noFill/>
            </a:ln>
            <a:effectLst/>
          </c:spPr>
          <c:invertIfNegative val="0"/>
          <c:cat>
            <c:numRef>
              <c:f>KPIs!$B$26:$B$55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KPIs!$C$26:$C$55</c:f>
              <c:numCache>
                <c:formatCode>#,##0</c:formatCode>
                <c:ptCount val="3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14</c:v>
                </c:pt>
                <c:pt idx="9">
                  <c:v>16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16</c:v>
                </c:pt>
                <c:pt idx="17">
                  <c:v>18</c:v>
                </c:pt>
                <c:pt idx="18">
                  <c:v>17</c:v>
                </c:pt>
                <c:pt idx="19">
                  <c:v>19</c:v>
                </c:pt>
                <c:pt idx="20">
                  <c:v>17</c:v>
                </c:pt>
                <c:pt idx="21">
                  <c:v>19</c:v>
                </c:pt>
                <c:pt idx="22">
                  <c:v>16</c:v>
                </c:pt>
                <c:pt idx="23">
                  <c:v>14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14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6-419D-A33B-033E54F1C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417504"/>
        <c:axId val="1250420864"/>
      </c:barChart>
      <c:dateAx>
        <c:axId val="1250417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20864"/>
        <c:crosses val="autoZero"/>
        <c:auto val="1"/>
        <c:lblOffset val="100"/>
        <c:baseTimeUnit val="months"/>
      </c:dateAx>
      <c:valAx>
        <c:axId val="12504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1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294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D4AF3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by Service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D4AF37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KPIs!$D$58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KPIs!$B$59:$B$64</c:f>
              <c:strCache>
                <c:ptCount val="6"/>
                <c:pt idx="0">
                  <c:v>Web Development</c:v>
                </c:pt>
                <c:pt idx="1">
                  <c:v>Logo &amp; Branding</c:v>
                </c:pt>
                <c:pt idx="2">
                  <c:v>Content Writing</c:v>
                </c:pt>
                <c:pt idx="3">
                  <c:v>SEO Services</c:v>
                </c:pt>
                <c:pt idx="4">
                  <c:v>Video Editing</c:v>
                </c:pt>
                <c:pt idx="5">
                  <c:v>Social Media Mgmt</c:v>
                </c:pt>
              </c:strCache>
            </c:strRef>
          </c:cat>
          <c:val>
            <c:numRef>
              <c:f>KPIs!$D$59:$D$64</c:f>
              <c:numCache>
                <c:formatCode>[$$-409]#,##0</c:formatCode>
                <c:ptCount val="6"/>
                <c:pt idx="0">
                  <c:v>4850</c:v>
                </c:pt>
                <c:pt idx="1">
                  <c:v>2200</c:v>
                </c:pt>
                <c:pt idx="2">
                  <c:v>1450</c:v>
                </c:pt>
                <c:pt idx="3">
                  <c:v>1850</c:v>
                </c:pt>
                <c:pt idx="4">
                  <c:v>1380</c:v>
                </c:pt>
                <c:pt idx="5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B-4190-9DC6-D2A849F7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294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D4AF3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Quality: Rating &amp; On-Time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D4AF37"/>
              </a:solidFill>
              <a:latin typeface="Calibri"/>
              <a:ea typeface="Calibri"/>
              <a:cs typeface="Calibri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KPIs!$E$25</c:f>
              <c:strCache>
                <c:ptCount val="1"/>
                <c:pt idx="0">
                  <c:v>Avg Rating</c:v>
                </c:pt>
              </c:strCache>
            </c:strRef>
          </c:tx>
          <c:spPr>
            <a:ln w="28575" cap="rnd">
              <a:solidFill>
                <a:srgbClr val="D4AF3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KPIs!$B$26:$B$55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KPIs!$E$26:$E$55</c:f>
              <c:numCache>
                <c:formatCode>0.00</c:formatCode>
                <c:ptCount val="30"/>
                <c:pt idx="0">
                  <c:v>4.5</c:v>
                </c:pt>
                <c:pt idx="1">
                  <c:v>4.5</c:v>
                </c:pt>
                <c:pt idx="2">
                  <c:v>4.5999999999999996</c:v>
                </c:pt>
                <c:pt idx="3">
                  <c:v>4.5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4.7</c:v>
                </c:pt>
                <c:pt idx="8">
                  <c:v>4.5999999999999996</c:v>
                </c:pt>
                <c:pt idx="9">
                  <c:v>4.7</c:v>
                </c:pt>
                <c:pt idx="10">
                  <c:v>4.5999999999999996</c:v>
                </c:pt>
                <c:pt idx="11">
                  <c:v>4.7</c:v>
                </c:pt>
                <c:pt idx="12">
                  <c:v>4.5999999999999996</c:v>
                </c:pt>
                <c:pt idx="13">
                  <c:v>4.7</c:v>
                </c:pt>
                <c:pt idx="14">
                  <c:v>4.7</c:v>
                </c:pt>
                <c:pt idx="15">
                  <c:v>4.7</c:v>
                </c:pt>
                <c:pt idx="16">
                  <c:v>4.7</c:v>
                </c:pt>
                <c:pt idx="17">
                  <c:v>4.7</c:v>
                </c:pt>
                <c:pt idx="18">
                  <c:v>4.7</c:v>
                </c:pt>
                <c:pt idx="19">
                  <c:v>4.8</c:v>
                </c:pt>
                <c:pt idx="20">
                  <c:v>4.7</c:v>
                </c:pt>
                <c:pt idx="21">
                  <c:v>4.8</c:v>
                </c:pt>
                <c:pt idx="22">
                  <c:v>4.7</c:v>
                </c:pt>
                <c:pt idx="23">
                  <c:v>4.7</c:v>
                </c:pt>
                <c:pt idx="24">
                  <c:v>4.7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3-4FC4-8034-ABF576133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24704"/>
        <c:axId val="1250418464"/>
      </c:lineChart>
      <c:lineChart>
        <c:grouping val="standard"/>
        <c:varyColors val="0"/>
        <c:ser>
          <c:idx val="3"/>
          <c:order val="1"/>
          <c:tx>
            <c:strRef>
              <c:f>KPIs!$F$25</c:f>
              <c:strCache>
                <c:ptCount val="1"/>
                <c:pt idx="0">
                  <c:v>On-Time %</c:v>
                </c:pt>
              </c:strCache>
            </c:strRef>
          </c:tx>
          <c:spPr>
            <a:ln w="28575" cap="rnd">
              <a:solidFill>
                <a:srgbClr val="2ECC7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KPIs!$B$26:$B$55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KPIs!$F$26:$F$55</c:f>
              <c:numCache>
                <c:formatCode>0.0%</c:formatCode>
                <c:ptCount val="30"/>
                <c:pt idx="0">
                  <c:v>0.91</c:v>
                </c:pt>
                <c:pt idx="1">
                  <c:v>0.92</c:v>
                </c:pt>
                <c:pt idx="2">
                  <c:v>0.92</c:v>
                </c:pt>
                <c:pt idx="3">
                  <c:v>0.93</c:v>
                </c:pt>
                <c:pt idx="4">
                  <c:v>0.93</c:v>
                </c:pt>
                <c:pt idx="5">
                  <c:v>0.94</c:v>
                </c:pt>
                <c:pt idx="6">
                  <c:v>0.93</c:v>
                </c:pt>
                <c:pt idx="7">
                  <c:v>0.94</c:v>
                </c:pt>
                <c:pt idx="8">
                  <c:v>0.93</c:v>
                </c:pt>
                <c:pt idx="9">
                  <c:v>0.94</c:v>
                </c:pt>
                <c:pt idx="10">
                  <c:v>0.93</c:v>
                </c:pt>
                <c:pt idx="11">
                  <c:v>0.93</c:v>
                </c:pt>
                <c:pt idx="12">
                  <c:v>0.94</c:v>
                </c:pt>
                <c:pt idx="13">
                  <c:v>0.95</c:v>
                </c:pt>
                <c:pt idx="14">
                  <c:v>0.95</c:v>
                </c:pt>
                <c:pt idx="15">
                  <c:v>0.96</c:v>
                </c:pt>
                <c:pt idx="16">
                  <c:v>0.96</c:v>
                </c:pt>
                <c:pt idx="17">
                  <c:v>0.97</c:v>
                </c:pt>
                <c:pt idx="18">
                  <c:v>0.96</c:v>
                </c:pt>
                <c:pt idx="19">
                  <c:v>0.97</c:v>
                </c:pt>
                <c:pt idx="20">
                  <c:v>0.96</c:v>
                </c:pt>
                <c:pt idx="21">
                  <c:v>0.97</c:v>
                </c:pt>
                <c:pt idx="22">
                  <c:v>0.96</c:v>
                </c:pt>
                <c:pt idx="23">
                  <c:v>0.96</c:v>
                </c:pt>
                <c:pt idx="24">
                  <c:v>0.97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0.99</c:v>
                </c:pt>
                <c:pt idx="29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B3-4FC4-8034-ABF576133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33344"/>
        <c:axId val="1250427104"/>
      </c:lineChart>
      <c:dateAx>
        <c:axId val="1250424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18464"/>
        <c:crosses val="autoZero"/>
        <c:auto val="1"/>
        <c:lblOffset val="100"/>
        <c:baseTimeUnit val="months"/>
      </c:dateAx>
      <c:valAx>
        <c:axId val="12504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24704"/>
        <c:crosses val="autoZero"/>
        <c:crossBetween val="between"/>
      </c:valAx>
      <c:valAx>
        <c:axId val="12504271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33344"/>
        <c:crosses val="max"/>
        <c:crossBetween val="between"/>
      </c:valAx>
      <c:dateAx>
        <c:axId val="125043334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50427104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294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D4AF3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Clients Acquired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D4AF37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KPIs!$N$25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rgbClr val="2ECC71"/>
            </a:solidFill>
            <a:ln>
              <a:noFill/>
            </a:ln>
            <a:effectLst/>
          </c:spPr>
          <c:invertIfNegative val="0"/>
          <c:val>
            <c:numRef>
              <c:f>KPIs!$N$26:$N$55</c:f>
            </c:numRef>
          </c:val>
          <c:extLst>
            <c:ext xmlns:c16="http://schemas.microsoft.com/office/drawing/2014/chart" uri="{C3380CC4-5D6E-409C-BE32-E72D297353CC}">
              <c16:uniqueId val="{00000000-A99B-4DBE-AB0A-C4B7AB51C210}"/>
            </c:ext>
          </c:extLst>
        </c:ser>
        <c:ser>
          <c:idx val="1"/>
          <c:order val="1"/>
          <c:tx>
            <c:strRef>
              <c:f>KPIs!$O$25</c:f>
              <c:strCache>
                <c:ptCount val="1"/>
                <c:pt idx="0">
                  <c:v>New Clients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KPIs!$O$26:$O$55</c:f>
            </c:numRef>
          </c:val>
          <c:extLst>
            <c:ext xmlns:c16="http://schemas.microsoft.com/office/drawing/2014/chart" uri="{C3380CC4-5D6E-409C-BE32-E72D297353CC}">
              <c16:uniqueId val="{00000001-A99B-4DBE-AB0A-C4B7AB51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430464"/>
        <c:axId val="1250430944"/>
      </c:barChart>
      <c:catAx>
        <c:axId val="125043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30944"/>
        <c:crosses val="autoZero"/>
        <c:auto val="1"/>
        <c:lblAlgn val="ctr"/>
        <c:lblOffset val="100"/>
        <c:noMultiLvlLbl val="0"/>
      </c:catAx>
      <c:valAx>
        <c:axId val="125043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FA3C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04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3294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67</xdr:row>
      <xdr:rowOff>0</xdr:rowOff>
    </xdr:from>
    <xdr:to>
      <xdr:col>7</xdr:col>
      <xdr:colOff>0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759144-B747-6FAF-5881-330EBBABE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13</xdr:col>
      <xdr:colOff>0</xdr:colOff>
      <xdr:row>81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035561-A4C9-C56B-58A1-0133FEAF1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7</xdr:col>
      <xdr:colOff>0</xdr:colOff>
      <xdr:row>95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600897-5838-B7EC-D591-4EB34D8D1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81</xdr:row>
      <xdr:rowOff>0</xdr:rowOff>
    </xdr:from>
    <xdr:to>
      <xdr:col>13</xdr:col>
      <xdr:colOff>0</xdr:colOff>
      <xdr:row>95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1B77B2-E775-C1F6-DB74-A6AD42483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95</xdr:row>
      <xdr:rowOff>0</xdr:rowOff>
    </xdr:from>
    <xdr:to>
      <xdr:col>13</xdr:col>
      <xdr:colOff>0</xdr:colOff>
      <xdr:row>109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17FBCD-0D84-494B-A567-C0ACEF995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F7C13D-08E8-4C8E-BD4D-7CBAD7E8893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2835722-7943-4a33-bfff-026cfcb4cae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F3A"/>
  </sheetPr>
  <dimension ref="A1:Z110"/>
  <sheetViews>
    <sheetView showGridLines="0" showRowColHeaders="0" tabSelected="1" zoomScaleNormal="100" workbookViewId="0">
      <selection activeCell="G2" sqref="G2"/>
    </sheetView>
  </sheetViews>
  <sheetFormatPr defaultRowHeight="15" x14ac:dyDescent="0.25"/>
  <cols>
    <col min="1" max="1" width="2.28515625" customWidth="1"/>
    <col min="2" max="2" width="27.5703125" customWidth="1"/>
    <col min="3" max="13" width="18.140625" customWidth="1"/>
    <col min="14" max="14" width="18.140625" hidden="1" customWidth="1"/>
    <col min="15" max="15" width="2.28515625" hidden="1" customWidth="1"/>
  </cols>
  <sheetData>
    <row r="1" spans="1:26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0.1" customHeight="1" x14ac:dyDescent="0.5">
      <c r="A2" s="1"/>
      <c r="B2" s="2" t="s">
        <v>10</v>
      </c>
      <c r="C2" s="1"/>
      <c r="D2" s="1"/>
      <c r="E2" s="1"/>
      <c r="F2" s="1"/>
      <c r="G2" s="1"/>
      <c r="H2" s="1"/>
      <c r="I2" s="1"/>
      <c r="J2" s="1"/>
      <c r="K2" s="1"/>
      <c r="L2" s="3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 x14ac:dyDescent="0.25">
      <c r="A3" s="1"/>
      <c r="B3" s="4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 thickTop="1" x14ac:dyDescent="0.25">
      <c r="A5" s="1"/>
      <c r="B5" s="8" t="s">
        <v>13</v>
      </c>
      <c r="C5" s="8"/>
      <c r="D5" s="11" t="s">
        <v>15</v>
      </c>
      <c r="E5" s="11"/>
      <c r="F5" s="8" t="s">
        <v>17</v>
      </c>
      <c r="G5" s="8"/>
      <c r="H5" s="11" t="s">
        <v>19</v>
      </c>
      <c r="I5" s="11"/>
      <c r="J5" s="14" t="s">
        <v>21</v>
      </c>
      <c r="K5" s="14"/>
      <c r="L5" s="11" t="s">
        <v>23</v>
      </c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 x14ac:dyDescent="0.25">
      <c r="A6" s="1"/>
      <c r="B6" s="6">
        <v>441</v>
      </c>
      <c r="C6" s="6"/>
      <c r="D6" s="61">
        <v>27500</v>
      </c>
      <c r="E6" s="9"/>
      <c r="F6" s="6" t="s">
        <v>73</v>
      </c>
      <c r="G6" s="6"/>
      <c r="H6" s="12">
        <v>0.95699999999999996</v>
      </c>
      <c r="I6" s="12"/>
      <c r="J6" s="12">
        <v>0.87</v>
      </c>
      <c r="K6" s="12"/>
      <c r="L6" s="6" t="s">
        <v>75</v>
      </c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 x14ac:dyDescent="0.25">
      <c r="A7" s="1"/>
      <c r="B7" s="7" t="s">
        <v>14</v>
      </c>
      <c r="C7" s="7"/>
      <c r="D7" s="10" t="s">
        <v>16</v>
      </c>
      <c r="E7" s="10"/>
      <c r="F7" s="7" t="s">
        <v>18</v>
      </c>
      <c r="G7" s="7"/>
      <c r="H7" s="10" t="s">
        <v>20</v>
      </c>
      <c r="I7" s="10"/>
      <c r="J7" s="13" t="s">
        <v>22</v>
      </c>
      <c r="K7" s="13"/>
      <c r="L7" s="10" t="s">
        <v>24</v>
      </c>
      <c r="M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x14ac:dyDescent="0.3">
      <c r="A9" s="1"/>
      <c r="B9" s="15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6" t="s">
        <v>0</v>
      </c>
      <c r="C10" s="17">
        <v>2024</v>
      </c>
      <c r="D10" s="17">
        <v>2025</v>
      </c>
      <c r="E10" s="17" t="s">
        <v>1</v>
      </c>
      <c r="F10" s="17" t="s">
        <v>2</v>
      </c>
      <c r="G10" s="17" t="s">
        <v>26</v>
      </c>
      <c r="H10" s="17" t="s">
        <v>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 x14ac:dyDescent="0.25">
      <c r="A11" s="1"/>
      <c r="B11" s="18" t="s">
        <v>4</v>
      </c>
      <c r="C11" s="22">
        <v>156</v>
      </c>
      <c r="D11" s="22">
        <v>198</v>
      </c>
      <c r="E11" s="22">
        <v>87</v>
      </c>
      <c r="F11" s="22">
        <v>220</v>
      </c>
      <c r="G11" s="29">
        <f>(D11-C11)/C11</f>
        <v>0.26923076923076922</v>
      </c>
      <c r="H11" s="20" t="str">
        <f>IF(E11&gt;=F11/2,"On Track","Below Target")</f>
        <v>Below Target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95" customHeight="1" x14ac:dyDescent="0.25">
      <c r="A12" s="1"/>
      <c r="B12" s="19" t="s">
        <v>9</v>
      </c>
      <c r="C12" s="53">
        <v>8400</v>
      </c>
      <c r="D12" s="53">
        <v>12600</v>
      </c>
      <c r="E12" s="53">
        <v>6500</v>
      </c>
      <c r="F12" s="53">
        <v>14000</v>
      </c>
      <c r="G12" s="30">
        <f>(D12-C12)/C12</f>
        <v>0.5</v>
      </c>
      <c r="H12" s="21" t="str">
        <f>IF(E12&gt;=F12/2,"On Track","Below Target")</f>
        <v>Below Target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95" customHeight="1" x14ac:dyDescent="0.25">
      <c r="A13" s="1"/>
      <c r="B13" s="18" t="s">
        <v>27</v>
      </c>
      <c r="C13" s="54">
        <f>C12/C11</f>
        <v>53.846153846153847</v>
      </c>
      <c r="D13" s="54">
        <f>D12/D11</f>
        <v>63.636363636363633</v>
      </c>
      <c r="E13" s="54">
        <f>E12/E11</f>
        <v>74.712643678160916</v>
      </c>
      <c r="F13" s="54">
        <f>F12/F11</f>
        <v>63.636363636363633</v>
      </c>
      <c r="G13" s="29">
        <f>(D13-C13)/C13</f>
        <v>0.18181818181818174</v>
      </c>
      <c r="H13" s="20" t="str">
        <f>IF(E13&gt;=F13*0.9,"On Track","Below Target")</f>
        <v>On Track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95" customHeight="1" x14ac:dyDescent="0.25">
      <c r="A14" s="1"/>
      <c r="B14" s="19" t="s">
        <v>5</v>
      </c>
      <c r="C14" s="23">
        <v>4.5999999999999996</v>
      </c>
      <c r="D14" s="23">
        <v>4.7</v>
      </c>
      <c r="E14" s="23">
        <v>4.8</v>
      </c>
      <c r="F14" s="23">
        <v>4.8</v>
      </c>
      <c r="G14" s="30">
        <f>(D14-C14)/C14</f>
        <v>2.1739130434782726E-2</v>
      </c>
      <c r="H14" s="21" t="str">
        <f>IF(E14&gt;=F14*0.95,"On Track","Below Target")</f>
        <v>On Track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95" customHeight="1" x14ac:dyDescent="0.25">
      <c r="A15" s="1"/>
      <c r="B15" s="18" t="s">
        <v>6</v>
      </c>
      <c r="C15" s="24">
        <v>0.93</v>
      </c>
      <c r="D15" s="24">
        <v>0.96</v>
      </c>
      <c r="E15" s="24">
        <v>0.98</v>
      </c>
      <c r="F15" s="24">
        <v>0.95</v>
      </c>
      <c r="G15" s="29">
        <f>(D15-C15)/C15</f>
        <v>3.2258064516128941E-2</v>
      </c>
      <c r="H15" s="20" t="str">
        <f>IF(E15&gt;=F15,"On Track","Below Target")</f>
        <v>On Track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 x14ac:dyDescent="0.25">
      <c r="A16" s="1"/>
      <c r="B16" s="19" t="s">
        <v>7</v>
      </c>
      <c r="C16" s="25">
        <v>0.78</v>
      </c>
      <c r="D16" s="25">
        <v>0.85</v>
      </c>
      <c r="E16" s="25">
        <v>0.87</v>
      </c>
      <c r="F16" s="25">
        <v>0.85</v>
      </c>
      <c r="G16" s="30">
        <f>(D16-C16)/C16</f>
        <v>8.9743589743589675E-2</v>
      </c>
      <c r="H16" s="21" t="str">
        <f>IF(E16&gt;=F16,"On Track","Below Target")</f>
        <v>On Track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95" customHeight="1" x14ac:dyDescent="0.25">
      <c r="A17" s="1"/>
      <c r="B17" s="18" t="s">
        <v>8</v>
      </c>
      <c r="C17" s="26">
        <v>2.5</v>
      </c>
      <c r="D17" s="26">
        <v>1.8</v>
      </c>
      <c r="E17" s="26">
        <v>1.2</v>
      </c>
      <c r="F17" s="26">
        <v>2</v>
      </c>
      <c r="G17" s="29">
        <f>(D17-C17)/C17</f>
        <v>-0.27999999999999997</v>
      </c>
      <c r="H17" s="20" t="str">
        <f>IF(E17&lt;=F17,"On Track","Below Target")</f>
        <v>On Track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95" customHeight="1" x14ac:dyDescent="0.25">
      <c r="A18" s="1"/>
      <c r="B18" s="19" t="s">
        <v>28</v>
      </c>
      <c r="C18" s="27">
        <v>52</v>
      </c>
      <c r="D18" s="27">
        <v>71</v>
      </c>
      <c r="E18" s="27">
        <v>38</v>
      </c>
      <c r="F18" s="27">
        <v>80</v>
      </c>
      <c r="G18" s="30">
        <f>(D18-C18)/C18</f>
        <v>0.36538461538461536</v>
      </c>
      <c r="H18" s="21" t="str">
        <f>IF(E18&gt;=F18/2,"On Track","Below Target")</f>
        <v>Below Target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 x14ac:dyDescent="0.25">
      <c r="A19" s="1"/>
      <c r="B19" s="18" t="s">
        <v>29</v>
      </c>
      <c r="C19" s="24">
        <v>4.4999999999999998E-2</v>
      </c>
      <c r="D19" s="24">
        <v>2.8000000000000001E-2</v>
      </c>
      <c r="E19" s="24">
        <v>2.1000000000000001E-2</v>
      </c>
      <c r="F19" s="24">
        <v>0.03</v>
      </c>
      <c r="G19" s="29">
        <f>(D19-C19)/C19</f>
        <v>-0.37777777777777777</v>
      </c>
      <c r="H19" s="20" t="str">
        <f>IF(E19&lt;=F19,"On Track","Below Target")</f>
        <v>On Track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95" customHeight="1" x14ac:dyDescent="0.25">
      <c r="A20" s="1"/>
      <c r="B20" s="19" t="s">
        <v>30</v>
      </c>
      <c r="C20" s="25">
        <v>0.62</v>
      </c>
      <c r="D20" s="25">
        <v>0.66</v>
      </c>
      <c r="E20" s="25">
        <v>0.69</v>
      </c>
      <c r="F20" s="25">
        <v>0.65</v>
      </c>
      <c r="G20" s="30">
        <f>(D20-C20)/C20</f>
        <v>6.4516129032258118E-2</v>
      </c>
      <c r="H20" s="21" t="str">
        <f>IF(E20&gt;=F20,"On Track","Below Target")</f>
        <v>On Track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95" customHeight="1" x14ac:dyDescent="0.25">
      <c r="A21" s="1"/>
      <c r="B21" s="18" t="s">
        <v>31</v>
      </c>
      <c r="C21" s="22">
        <v>14200</v>
      </c>
      <c r="D21" s="22">
        <v>19850</v>
      </c>
      <c r="E21" s="22">
        <v>11200</v>
      </c>
      <c r="F21" s="22">
        <v>22000</v>
      </c>
      <c r="G21" s="29">
        <f>(D21-C21)/C21</f>
        <v>0.397887323943662</v>
      </c>
      <c r="H21" s="20" t="str">
        <f>IF(E21&gt;=F21/2,"On Track","Below Target")</f>
        <v>On Track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95" customHeight="1" x14ac:dyDescent="0.25">
      <c r="A22" s="1"/>
      <c r="B22" s="19" t="s">
        <v>32</v>
      </c>
      <c r="C22" s="28">
        <f>C11/C21</f>
        <v>1.0985915492957746E-2</v>
      </c>
      <c r="D22" s="28">
        <f>D11/D21</f>
        <v>9.9748110831234249E-3</v>
      </c>
      <c r="E22" s="28">
        <f>E11/E21</f>
        <v>7.7678571428571432E-3</v>
      </c>
      <c r="F22" s="28">
        <f>F11/F21</f>
        <v>0.01</v>
      </c>
      <c r="G22" s="30">
        <f>(D22-C22)/C22</f>
        <v>-9.2036427049021569E-2</v>
      </c>
      <c r="H22" s="21" t="str">
        <f>IF(E22&gt;=F22,"On Track","Below Target")</f>
        <v>Below Target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x14ac:dyDescent="0.3">
      <c r="A24" s="1"/>
      <c r="B24" s="15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31" t="s">
        <v>34</v>
      </c>
      <c r="C25" s="32" t="s">
        <v>35</v>
      </c>
      <c r="D25" s="32" t="s">
        <v>9</v>
      </c>
      <c r="E25" s="32" t="s">
        <v>36</v>
      </c>
      <c r="F25" s="32" t="s">
        <v>37</v>
      </c>
      <c r="G25" s="32" t="s">
        <v>38</v>
      </c>
      <c r="H25" s="32" t="s">
        <v>39</v>
      </c>
      <c r="I25" s="32" t="s">
        <v>40</v>
      </c>
      <c r="J25" s="32" t="s">
        <v>41</v>
      </c>
      <c r="K25" s="32" t="s">
        <v>42</v>
      </c>
      <c r="L25" s="32" t="s">
        <v>43</v>
      </c>
      <c r="M25" s="1"/>
      <c r="N25" s="1" t="s">
        <v>34</v>
      </c>
      <c r="O25" s="1" t="s">
        <v>38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1"/>
      <c r="B26" s="33">
        <v>45292</v>
      </c>
      <c r="C26" s="35">
        <v>10</v>
      </c>
      <c r="D26" s="55">
        <v>520</v>
      </c>
      <c r="E26" s="37">
        <v>4.5</v>
      </c>
      <c r="F26" s="39">
        <v>0.91</v>
      </c>
      <c r="G26" s="35">
        <v>4</v>
      </c>
      <c r="H26" s="35">
        <v>1</v>
      </c>
      <c r="I26" s="41">
        <v>2.8</v>
      </c>
      <c r="J26" s="35">
        <v>980</v>
      </c>
      <c r="K26" s="57">
        <f>D26/C26</f>
        <v>52</v>
      </c>
      <c r="L26" s="55">
        <f>D26*0.66</f>
        <v>343.2</v>
      </c>
      <c r="M26" s="1"/>
      <c r="N26" s="1">
        <f>B26</f>
        <v>45292</v>
      </c>
      <c r="O26" s="1">
        <f>G26</f>
        <v>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1"/>
      <c r="B27" s="34">
        <v>45323</v>
      </c>
      <c r="C27" s="36">
        <v>11</v>
      </c>
      <c r="D27" s="56">
        <v>580</v>
      </c>
      <c r="E27" s="38">
        <v>4.5</v>
      </c>
      <c r="F27" s="40">
        <v>0.92</v>
      </c>
      <c r="G27" s="36">
        <v>3</v>
      </c>
      <c r="H27" s="36">
        <v>1</v>
      </c>
      <c r="I27" s="42">
        <v>2.6</v>
      </c>
      <c r="J27" s="36">
        <v>1050</v>
      </c>
      <c r="K27" s="58">
        <f t="shared" ref="K27:K55" si="0">D27/C27</f>
        <v>52.727272727272727</v>
      </c>
      <c r="L27" s="56">
        <f t="shared" ref="L27:L55" si="1">D27*0.66</f>
        <v>382.8</v>
      </c>
      <c r="M27" s="1"/>
      <c r="N27" s="1">
        <f t="shared" ref="N27:N55" si="2">B27</f>
        <v>45323</v>
      </c>
      <c r="O27" s="1">
        <f t="shared" ref="O27:O55" si="3">G27</f>
        <v>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1"/>
      <c r="B28" s="33">
        <v>45352</v>
      </c>
      <c r="C28" s="35">
        <v>12</v>
      </c>
      <c r="D28" s="55">
        <v>640</v>
      </c>
      <c r="E28" s="37">
        <v>4.5999999999999996</v>
      </c>
      <c r="F28" s="39">
        <v>0.92</v>
      </c>
      <c r="G28" s="35">
        <v>4</v>
      </c>
      <c r="H28" s="35">
        <v>0</v>
      </c>
      <c r="I28" s="41">
        <v>2.7</v>
      </c>
      <c r="J28" s="35">
        <v>1120</v>
      </c>
      <c r="K28" s="57">
        <f t="shared" si="0"/>
        <v>53.333333333333336</v>
      </c>
      <c r="L28" s="55">
        <f t="shared" si="1"/>
        <v>422.40000000000003</v>
      </c>
      <c r="M28" s="1"/>
      <c r="N28" s="1">
        <f t="shared" si="2"/>
        <v>45352</v>
      </c>
      <c r="O28" s="1">
        <f t="shared" si="3"/>
        <v>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1"/>
      <c r="B29" s="34">
        <v>45383</v>
      </c>
      <c r="C29" s="36">
        <v>13</v>
      </c>
      <c r="D29" s="56">
        <v>700</v>
      </c>
      <c r="E29" s="38">
        <v>4.5</v>
      </c>
      <c r="F29" s="40">
        <v>0.93</v>
      </c>
      <c r="G29" s="36">
        <v>5</v>
      </c>
      <c r="H29" s="36">
        <v>1</v>
      </c>
      <c r="I29" s="42">
        <v>2.5</v>
      </c>
      <c r="J29" s="36">
        <v>1180</v>
      </c>
      <c r="K29" s="58">
        <f t="shared" si="0"/>
        <v>53.846153846153847</v>
      </c>
      <c r="L29" s="56">
        <f t="shared" si="1"/>
        <v>462</v>
      </c>
      <c r="M29" s="1"/>
      <c r="N29" s="1">
        <f t="shared" si="2"/>
        <v>45383</v>
      </c>
      <c r="O29" s="1">
        <f t="shared" si="3"/>
        <v>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1"/>
      <c r="B30" s="33">
        <v>45413</v>
      </c>
      <c r="C30" s="35">
        <v>12</v>
      </c>
      <c r="D30" s="55">
        <v>660</v>
      </c>
      <c r="E30" s="37">
        <v>4.5999999999999996</v>
      </c>
      <c r="F30" s="39">
        <v>0.93</v>
      </c>
      <c r="G30" s="35">
        <v>4</v>
      </c>
      <c r="H30" s="35">
        <v>1</v>
      </c>
      <c r="I30" s="41">
        <v>2.5</v>
      </c>
      <c r="J30" s="35">
        <v>1240</v>
      </c>
      <c r="K30" s="57">
        <f t="shared" si="0"/>
        <v>55</v>
      </c>
      <c r="L30" s="55">
        <f t="shared" si="1"/>
        <v>435.6</v>
      </c>
      <c r="M30" s="1"/>
      <c r="N30" s="1">
        <f t="shared" si="2"/>
        <v>45413</v>
      </c>
      <c r="O30" s="1">
        <f t="shared" si="3"/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1"/>
      <c r="B31" s="34">
        <v>45444</v>
      </c>
      <c r="C31" s="36">
        <v>14</v>
      </c>
      <c r="D31" s="56">
        <v>760</v>
      </c>
      <c r="E31" s="38">
        <v>4.5999999999999996</v>
      </c>
      <c r="F31" s="40">
        <v>0.94</v>
      </c>
      <c r="G31" s="36">
        <v>5</v>
      </c>
      <c r="H31" s="36">
        <v>0</v>
      </c>
      <c r="I31" s="42">
        <v>2.4</v>
      </c>
      <c r="J31" s="36">
        <v>1320</v>
      </c>
      <c r="K31" s="58">
        <f t="shared" si="0"/>
        <v>54.285714285714285</v>
      </c>
      <c r="L31" s="56">
        <f t="shared" si="1"/>
        <v>501.6</v>
      </c>
      <c r="M31" s="1"/>
      <c r="N31" s="1">
        <f t="shared" si="2"/>
        <v>45444</v>
      </c>
      <c r="O31" s="1">
        <f t="shared" si="3"/>
        <v>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1"/>
      <c r="B32" s="33">
        <v>45474</v>
      </c>
      <c r="C32" s="35">
        <v>13</v>
      </c>
      <c r="D32" s="55">
        <v>720</v>
      </c>
      <c r="E32" s="37">
        <v>4.5999999999999996</v>
      </c>
      <c r="F32" s="39">
        <v>0.93</v>
      </c>
      <c r="G32" s="35">
        <v>4</v>
      </c>
      <c r="H32" s="35">
        <v>1</v>
      </c>
      <c r="I32" s="41">
        <v>2.5</v>
      </c>
      <c r="J32" s="35">
        <v>1280</v>
      </c>
      <c r="K32" s="57">
        <f t="shared" si="0"/>
        <v>55.384615384615387</v>
      </c>
      <c r="L32" s="55">
        <f t="shared" si="1"/>
        <v>475.20000000000005</v>
      </c>
      <c r="M32" s="1"/>
      <c r="N32" s="1">
        <f t="shared" si="2"/>
        <v>45474</v>
      </c>
      <c r="O32" s="1">
        <f t="shared" si="3"/>
        <v>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1"/>
      <c r="B33" s="34">
        <v>45505</v>
      </c>
      <c r="C33" s="36">
        <v>15</v>
      </c>
      <c r="D33" s="56">
        <v>820</v>
      </c>
      <c r="E33" s="38">
        <v>4.7</v>
      </c>
      <c r="F33" s="40">
        <v>0.94</v>
      </c>
      <c r="G33" s="36">
        <v>6</v>
      </c>
      <c r="H33" s="36">
        <v>0</v>
      </c>
      <c r="I33" s="42">
        <v>2.2999999999999998</v>
      </c>
      <c r="J33" s="36">
        <v>1350</v>
      </c>
      <c r="K33" s="58">
        <f t="shared" si="0"/>
        <v>54.666666666666664</v>
      </c>
      <c r="L33" s="56">
        <f t="shared" si="1"/>
        <v>541.20000000000005</v>
      </c>
      <c r="M33" s="1"/>
      <c r="N33" s="1">
        <f t="shared" si="2"/>
        <v>45505</v>
      </c>
      <c r="O33" s="1">
        <f t="shared" si="3"/>
        <v>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25">
      <c r="A34" s="1"/>
      <c r="B34" s="33">
        <v>45536</v>
      </c>
      <c r="C34" s="35">
        <v>14</v>
      </c>
      <c r="D34" s="55">
        <v>780</v>
      </c>
      <c r="E34" s="37">
        <v>4.5999999999999996</v>
      </c>
      <c r="F34" s="39">
        <v>0.93</v>
      </c>
      <c r="G34" s="35">
        <v>5</v>
      </c>
      <c r="H34" s="35">
        <v>1</v>
      </c>
      <c r="I34" s="41">
        <v>2.4</v>
      </c>
      <c r="J34" s="35">
        <v>1290</v>
      </c>
      <c r="K34" s="57">
        <f t="shared" si="0"/>
        <v>55.714285714285715</v>
      </c>
      <c r="L34" s="55">
        <f t="shared" si="1"/>
        <v>514.80000000000007</v>
      </c>
      <c r="M34" s="1"/>
      <c r="N34" s="1">
        <f t="shared" si="2"/>
        <v>45536</v>
      </c>
      <c r="O34" s="1">
        <f t="shared" si="3"/>
        <v>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25">
      <c r="A35" s="1"/>
      <c r="B35" s="34">
        <v>45566</v>
      </c>
      <c r="C35" s="36">
        <v>16</v>
      </c>
      <c r="D35" s="56">
        <v>880</v>
      </c>
      <c r="E35" s="38">
        <v>4.7</v>
      </c>
      <c r="F35" s="40">
        <v>0.94</v>
      </c>
      <c r="G35" s="36">
        <v>6</v>
      </c>
      <c r="H35" s="36">
        <v>1</v>
      </c>
      <c r="I35" s="42">
        <v>2.2999999999999998</v>
      </c>
      <c r="J35" s="36">
        <v>1410</v>
      </c>
      <c r="K35" s="58">
        <f t="shared" si="0"/>
        <v>55</v>
      </c>
      <c r="L35" s="56">
        <f t="shared" si="1"/>
        <v>580.80000000000007</v>
      </c>
      <c r="M35" s="1"/>
      <c r="N35" s="1">
        <f t="shared" si="2"/>
        <v>45566</v>
      </c>
      <c r="O35" s="1">
        <f t="shared" si="3"/>
        <v>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25">
      <c r="A36" s="1"/>
      <c r="B36" s="33">
        <v>45597</v>
      </c>
      <c r="C36" s="35">
        <v>13</v>
      </c>
      <c r="D36" s="55">
        <v>720</v>
      </c>
      <c r="E36" s="37">
        <v>4.5999999999999996</v>
      </c>
      <c r="F36" s="39">
        <v>0.93</v>
      </c>
      <c r="G36" s="35">
        <v>4</v>
      </c>
      <c r="H36" s="35">
        <v>1</v>
      </c>
      <c r="I36" s="41">
        <v>2.5</v>
      </c>
      <c r="J36" s="35">
        <v>1280</v>
      </c>
      <c r="K36" s="57">
        <f t="shared" si="0"/>
        <v>55.384615384615387</v>
      </c>
      <c r="L36" s="55">
        <f t="shared" si="1"/>
        <v>475.20000000000005</v>
      </c>
      <c r="M36" s="1"/>
      <c r="N36" s="1">
        <f t="shared" si="2"/>
        <v>45597</v>
      </c>
      <c r="O36" s="1">
        <f t="shared" si="3"/>
        <v>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25">
      <c r="A37" s="1"/>
      <c r="B37" s="34">
        <v>45627</v>
      </c>
      <c r="C37" s="36">
        <v>13</v>
      </c>
      <c r="D37" s="56">
        <v>720</v>
      </c>
      <c r="E37" s="38">
        <v>4.7</v>
      </c>
      <c r="F37" s="40">
        <v>0.93</v>
      </c>
      <c r="G37" s="36">
        <v>4</v>
      </c>
      <c r="H37" s="36">
        <v>0</v>
      </c>
      <c r="I37" s="42">
        <v>2.4</v>
      </c>
      <c r="J37" s="36">
        <v>1300</v>
      </c>
      <c r="K37" s="58">
        <f t="shared" si="0"/>
        <v>55.384615384615387</v>
      </c>
      <c r="L37" s="56">
        <f t="shared" si="1"/>
        <v>475.20000000000005</v>
      </c>
      <c r="M37" s="1"/>
      <c r="N37" s="1">
        <f t="shared" si="2"/>
        <v>45627</v>
      </c>
      <c r="O37" s="1">
        <f t="shared" si="3"/>
        <v>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25">
      <c r="A38" s="1"/>
      <c r="B38" s="33">
        <v>45658</v>
      </c>
      <c r="C38" s="35">
        <v>14</v>
      </c>
      <c r="D38" s="55">
        <v>840</v>
      </c>
      <c r="E38" s="37">
        <v>4.5999999999999996</v>
      </c>
      <c r="F38" s="39">
        <v>0.94</v>
      </c>
      <c r="G38" s="35">
        <v>5</v>
      </c>
      <c r="H38" s="35">
        <v>1</v>
      </c>
      <c r="I38" s="41">
        <v>2.2000000000000002</v>
      </c>
      <c r="J38" s="35">
        <v>1420</v>
      </c>
      <c r="K38" s="57">
        <f t="shared" si="0"/>
        <v>60</v>
      </c>
      <c r="L38" s="55">
        <f t="shared" si="1"/>
        <v>554.4</v>
      </c>
      <c r="M38" s="1"/>
      <c r="N38" s="1">
        <f t="shared" si="2"/>
        <v>45658</v>
      </c>
      <c r="O38" s="1">
        <f t="shared" si="3"/>
        <v>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25">
      <c r="A39" s="1"/>
      <c r="B39" s="34">
        <v>45689</v>
      </c>
      <c r="C39" s="36">
        <v>15</v>
      </c>
      <c r="D39" s="56">
        <v>920</v>
      </c>
      <c r="E39" s="38">
        <v>4.7</v>
      </c>
      <c r="F39" s="40">
        <v>0.95</v>
      </c>
      <c r="G39" s="36">
        <v>5</v>
      </c>
      <c r="H39" s="36">
        <v>0</v>
      </c>
      <c r="I39" s="42">
        <v>2.1</v>
      </c>
      <c r="J39" s="36">
        <v>1510</v>
      </c>
      <c r="K39" s="58">
        <f t="shared" si="0"/>
        <v>61.333333333333336</v>
      </c>
      <c r="L39" s="56">
        <f t="shared" si="1"/>
        <v>607.20000000000005</v>
      </c>
      <c r="M39" s="1"/>
      <c r="N39" s="1">
        <f t="shared" si="2"/>
        <v>45689</v>
      </c>
      <c r="O39" s="1">
        <f t="shared" si="3"/>
        <v>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25">
      <c r="A40" s="1"/>
      <c r="B40" s="33">
        <v>45717</v>
      </c>
      <c r="C40" s="35">
        <v>16</v>
      </c>
      <c r="D40" s="55">
        <v>980</v>
      </c>
      <c r="E40" s="37">
        <v>4.7</v>
      </c>
      <c r="F40" s="39">
        <v>0.95</v>
      </c>
      <c r="G40" s="35">
        <v>6</v>
      </c>
      <c r="H40" s="35">
        <v>1</v>
      </c>
      <c r="I40" s="41">
        <v>2</v>
      </c>
      <c r="J40" s="35">
        <v>1580</v>
      </c>
      <c r="K40" s="57">
        <f t="shared" si="0"/>
        <v>61.25</v>
      </c>
      <c r="L40" s="55">
        <f t="shared" si="1"/>
        <v>646.80000000000007</v>
      </c>
      <c r="M40" s="1"/>
      <c r="N40" s="1">
        <f t="shared" si="2"/>
        <v>45717</v>
      </c>
      <c r="O40" s="1">
        <f t="shared" si="3"/>
        <v>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25">
      <c r="A41" s="1"/>
      <c r="B41" s="34">
        <v>45748</v>
      </c>
      <c r="C41" s="36">
        <v>17</v>
      </c>
      <c r="D41" s="56">
        <v>1080</v>
      </c>
      <c r="E41" s="38">
        <v>4.7</v>
      </c>
      <c r="F41" s="40">
        <v>0.96</v>
      </c>
      <c r="G41" s="36">
        <v>6</v>
      </c>
      <c r="H41" s="36">
        <v>0</v>
      </c>
      <c r="I41" s="42">
        <v>1.9</v>
      </c>
      <c r="J41" s="36">
        <v>1640</v>
      </c>
      <c r="K41" s="58">
        <f t="shared" si="0"/>
        <v>63.529411764705884</v>
      </c>
      <c r="L41" s="56">
        <f t="shared" si="1"/>
        <v>712.80000000000007</v>
      </c>
      <c r="M41" s="1"/>
      <c r="N41" s="1">
        <f t="shared" si="2"/>
        <v>45748</v>
      </c>
      <c r="O41" s="1">
        <f t="shared" si="3"/>
        <v>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25">
      <c r="A42" s="1"/>
      <c r="B42" s="33">
        <v>45778</v>
      </c>
      <c r="C42" s="35">
        <v>16</v>
      </c>
      <c r="D42" s="55">
        <v>1010</v>
      </c>
      <c r="E42" s="37">
        <v>4.7</v>
      </c>
      <c r="F42" s="39">
        <v>0.96</v>
      </c>
      <c r="G42" s="35">
        <v>5</v>
      </c>
      <c r="H42" s="35">
        <v>1</v>
      </c>
      <c r="I42" s="41">
        <v>1.9</v>
      </c>
      <c r="J42" s="35">
        <v>1610</v>
      </c>
      <c r="K42" s="57">
        <f t="shared" si="0"/>
        <v>63.125</v>
      </c>
      <c r="L42" s="55">
        <f t="shared" si="1"/>
        <v>666.6</v>
      </c>
      <c r="M42" s="1"/>
      <c r="N42" s="1">
        <f t="shared" si="2"/>
        <v>45778</v>
      </c>
      <c r="O42" s="1">
        <f t="shared" si="3"/>
        <v>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25">
      <c r="A43" s="1"/>
      <c r="B43" s="34">
        <v>45809</v>
      </c>
      <c r="C43" s="36">
        <v>18</v>
      </c>
      <c r="D43" s="56">
        <v>1170</v>
      </c>
      <c r="E43" s="38">
        <v>4.7</v>
      </c>
      <c r="F43" s="40">
        <v>0.97</v>
      </c>
      <c r="G43" s="36">
        <v>7</v>
      </c>
      <c r="H43" s="36">
        <v>0</v>
      </c>
      <c r="I43" s="42">
        <v>1.8</v>
      </c>
      <c r="J43" s="36">
        <v>1720</v>
      </c>
      <c r="K43" s="58">
        <f t="shared" si="0"/>
        <v>65</v>
      </c>
      <c r="L43" s="56">
        <f t="shared" si="1"/>
        <v>772.2</v>
      </c>
      <c r="M43" s="1"/>
      <c r="N43" s="1">
        <f t="shared" si="2"/>
        <v>45809</v>
      </c>
      <c r="O43" s="1">
        <f t="shared" si="3"/>
        <v>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25">
      <c r="A44" s="1"/>
      <c r="B44" s="33">
        <v>45839</v>
      </c>
      <c r="C44" s="35">
        <v>17</v>
      </c>
      <c r="D44" s="55">
        <v>1080</v>
      </c>
      <c r="E44" s="37">
        <v>4.7</v>
      </c>
      <c r="F44" s="39">
        <v>0.96</v>
      </c>
      <c r="G44" s="35">
        <v>6</v>
      </c>
      <c r="H44" s="35">
        <v>1</v>
      </c>
      <c r="I44" s="41">
        <v>1.8</v>
      </c>
      <c r="J44" s="35">
        <v>1680</v>
      </c>
      <c r="K44" s="57">
        <f t="shared" si="0"/>
        <v>63.529411764705884</v>
      </c>
      <c r="L44" s="55">
        <f t="shared" si="1"/>
        <v>712.80000000000007</v>
      </c>
      <c r="M44" s="1"/>
      <c r="N44" s="1">
        <f t="shared" si="2"/>
        <v>45839</v>
      </c>
      <c r="O44" s="1">
        <f t="shared" si="3"/>
        <v>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25">
      <c r="A45" s="1"/>
      <c r="B45" s="34">
        <v>45870</v>
      </c>
      <c r="C45" s="36">
        <v>19</v>
      </c>
      <c r="D45" s="56">
        <v>1240</v>
      </c>
      <c r="E45" s="38">
        <v>4.8</v>
      </c>
      <c r="F45" s="40">
        <v>0.97</v>
      </c>
      <c r="G45" s="36">
        <v>7</v>
      </c>
      <c r="H45" s="36">
        <v>0</v>
      </c>
      <c r="I45" s="42">
        <v>1.7</v>
      </c>
      <c r="J45" s="36">
        <v>1790</v>
      </c>
      <c r="K45" s="58">
        <f t="shared" si="0"/>
        <v>65.263157894736835</v>
      </c>
      <c r="L45" s="56">
        <f t="shared" si="1"/>
        <v>818.40000000000009</v>
      </c>
      <c r="M45" s="1"/>
      <c r="N45" s="1">
        <f t="shared" si="2"/>
        <v>45870</v>
      </c>
      <c r="O45" s="1">
        <f t="shared" si="3"/>
        <v>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25">
      <c r="A46" s="1"/>
      <c r="B46" s="33">
        <v>45901</v>
      </c>
      <c r="C46" s="35">
        <v>17</v>
      </c>
      <c r="D46" s="55">
        <v>1090</v>
      </c>
      <c r="E46" s="37">
        <v>4.7</v>
      </c>
      <c r="F46" s="39">
        <v>0.96</v>
      </c>
      <c r="G46" s="35">
        <v>6</v>
      </c>
      <c r="H46" s="35">
        <v>1</v>
      </c>
      <c r="I46" s="41">
        <v>1.8</v>
      </c>
      <c r="J46" s="35">
        <v>1700</v>
      </c>
      <c r="K46" s="57">
        <f t="shared" si="0"/>
        <v>64.117647058823536</v>
      </c>
      <c r="L46" s="55">
        <f t="shared" si="1"/>
        <v>719.4</v>
      </c>
      <c r="M46" s="1"/>
      <c r="N46" s="1">
        <f t="shared" si="2"/>
        <v>45901</v>
      </c>
      <c r="O46" s="1">
        <f t="shared" si="3"/>
        <v>6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1"/>
      <c r="B47" s="34">
        <v>45931</v>
      </c>
      <c r="C47" s="36">
        <v>19</v>
      </c>
      <c r="D47" s="56">
        <v>1260</v>
      </c>
      <c r="E47" s="38">
        <v>4.8</v>
      </c>
      <c r="F47" s="40">
        <v>0.97</v>
      </c>
      <c r="G47" s="36">
        <v>7</v>
      </c>
      <c r="H47" s="36">
        <v>0</v>
      </c>
      <c r="I47" s="42">
        <v>1.7</v>
      </c>
      <c r="J47" s="36">
        <v>1820</v>
      </c>
      <c r="K47" s="58">
        <f t="shared" si="0"/>
        <v>66.315789473684205</v>
      </c>
      <c r="L47" s="56">
        <f t="shared" si="1"/>
        <v>831.6</v>
      </c>
      <c r="M47" s="1"/>
      <c r="N47" s="1">
        <f t="shared" si="2"/>
        <v>45931</v>
      </c>
      <c r="O47" s="1">
        <f t="shared" si="3"/>
        <v>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25">
      <c r="A48" s="1"/>
      <c r="B48" s="33">
        <v>45962</v>
      </c>
      <c r="C48" s="35">
        <v>16</v>
      </c>
      <c r="D48" s="55">
        <v>1020</v>
      </c>
      <c r="E48" s="37">
        <v>4.7</v>
      </c>
      <c r="F48" s="39">
        <v>0.96</v>
      </c>
      <c r="G48" s="35">
        <v>5</v>
      </c>
      <c r="H48" s="35">
        <v>1</v>
      </c>
      <c r="I48" s="41">
        <v>1.8</v>
      </c>
      <c r="J48" s="35">
        <v>1640</v>
      </c>
      <c r="K48" s="57">
        <f t="shared" si="0"/>
        <v>63.75</v>
      </c>
      <c r="L48" s="55">
        <f t="shared" si="1"/>
        <v>673.2</v>
      </c>
      <c r="M48" s="1"/>
      <c r="N48" s="1">
        <f t="shared" si="2"/>
        <v>45962</v>
      </c>
      <c r="O48" s="1">
        <f t="shared" si="3"/>
        <v>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25">
      <c r="A49" s="1"/>
      <c r="B49" s="34">
        <v>45992</v>
      </c>
      <c r="C49" s="36">
        <v>14</v>
      </c>
      <c r="D49" s="56">
        <v>910</v>
      </c>
      <c r="E49" s="38">
        <v>4.7</v>
      </c>
      <c r="F49" s="40">
        <v>0.96</v>
      </c>
      <c r="G49" s="36">
        <v>4</v>
      </c>
      <c r="H49" s="36">
        <v>1</v>
      </c>
      <c r="I49" s="42">
        <v>1.9</v>
      </c>
      <c r="J49" s="36">
        <v>1560</v>
      </c>
      <c r="K49" s="58">
        <f t="shared" si="0"/>
        <v>65</v>
      </c>
      <c r="L49" s="56">
        <f t="shared" si="1"/>
        <v>600.6</v>
      </c>
      <c r="M49" s="1"/>
      <c r="N49" s="1">
        <f t="shared" si="2"/>
        <v>45992</v>
      </c>
      <c r="O49" s="1">
        <f t="shared" si="3"/>
        <v>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25">
      <c r="A50" s="1"/>
      <c r="B50" s="33">
        <v>46023</v>
      </c>
      <c r="C50" s="35">
        <v>13</v>
      </c>
      <c r="D50" s="55">
        <v>880</v>
      </c>
      <c r="E50" s="37">
        <v>4.7</v>
      </c>
      <c r="F50" s="39">
        <v>0.97</v>
      </c>
      <c r="G50" s="35">
        <v>5</v>
      </c>
      <c r="H50" s="35">
        <v>0</v>
      </c>
      <c r="I50" s="41">
        <v>1.5</v>
      </c>
      <c r="J50" s="35">
        <v>1680</v>
      </c>
      <c r="K50" s="57">
        <f t="shared" si="0"/>
        <v>67.692307692307693</v>
      </c>
      <c r="L50" s="55">
        <f t="shared" si="1"/>
        <v>580.80000000000007</v>
      </c>
      <c r="M50" s="1"/>
      <c r="N50" s="1">
        <f t="shared" si="2"/>
        <v>46023</v>
      </c>
      <c r="O50" s="1">
        <f t="shared" si="3"/>
        <v>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1"/>
      <c r="B51" s="34">
        <v>46054</v>
      </c>
      <c r="C51" s="36">
        <v>14</v>
      </c>
      <c r="D51" s="56">
        <v>990</v>
      </c>
      <c r="E51" s="38">
        <v>4.8</v>
      </c>
      <c r="F51" s="40">
        <v>0.98</v>
      </c>
      <c r="G51" s="36">
        <v>6</v>
      </c>
      <c r="H51" s="36">
        <v>0</v>
      </c>
      <c r="I51" s="42">
        <v>1.4</v>
      </c>
      <c r="J51" s="36">
        <v>1780</v>
      </c>
      <c r="K51" s="58">
        <f t="shared" si="0"/>
        <v>70.714285714285708</v>
      </c>
      <c r="L51" s="56">
        <f t="shared" si="1"/>
        <v>653.4</v>
      </c>
      <c r="M51" s="1"/>
      <c r="N51" s="1">
        <f t="shared" si="2"/>
        <v>46054</v>
      </c>
      <c r="O51" s="1">
        <f t="shared" si="3"/>
        <v>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1"/>
      <c r="B52" s="33">
        <v>46082</v>
      </c>
      <c r="C52" s="35">
        <v>15</v>
      </c>
      <c r="D52" s="55">
        <v>1090</v>
      </c>
      <c r="E52" s="37">
        <v>4.8</v>
      </c>
      <c r="F52" s="39">
        <v>0.98</v>
      </c>
      <c r="G52" s="35">
        <v>6</v>
      </c>
      <c r="H52" s="35">
        <v>1</v>
      </c>
      <c r="I52" s="41">
        <v>1.3</v>
      </c>
      <c r="J52" s="35">
        <v>1850</v>
      </c>
      <c r="K52" s="57">
        <f t="shared" si="0"/>
        <v>72.666666666666671</v>
      </c>
      <c r="L52" s="55">
        <f t="shared" si="1"/>
        <v>719.4</v>
      </c>
      <c r="M52" s="1"/>
      <c r="N52" s="1">
        <f t="shared" si="2"/>
        <v>46082</v>
      </c>
      <c r="O52" s="1">
        <f t="shared" si="3"/>
        <v>6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1"/>
      <c r="B53" s="34">
        <v>46113</v>
      </c>
      <c r="C53" s="36">
        <v>15</v>
      </c>
      <c r="D53" s="56">
        <v>1110</v>
      </c>
      <c r="E53" s="38">
        <v>4.8</v>
      </c>
      <c r="F53" s="40">
        <v>0.98</v>
      </c>
      <c r="G53" s="36">
        <v>7</v>
      </c>
      <c r="H53" s="36">
        <v>0</v>
      </c>
      <c r="I53" s="42">
        <v>1.2</v>
      </c>
      <c r="J53" s="36">
        <v>1920</v>
      </c>
      <c r="K53" s="58">
        <f t="shared" si="0"/>
        <v>74</v>
      </c>
      <c r="L53" s="56">
        <f t="shared" si="1"/>
        <v>732.6</v>
      </c>
      <c r="M53" s="1"/>
      <c r="N53" s="1">
        <f t="shared" si="2"/>
        <v>46113</v>
      </c>
      <c r="O53" s="1">
        <f t="shared" si="3"/>
        <v>7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1"/>
      <c r="B54" s="33">
        <v>46143</v>
      </c>
      <c r="C54" s="35">
        <v>14</v>
      </c>
      <c r="D54" s="55">
        <v>1040</v>
      </c>
      <c r="E54" s="37">
        <v>4.8</v>
      </c>
      <c r="F54" s="39">
        <v>0.99</v>
      </c>
      <c r="G54" s="35">
        <v>6</v>
      </c>
      <c r="H54" s="35">
        <v>0</v>
      </c>
      <c r="I54" s="41">
        <v>1.1000000000000001</v>
      </c>
      <c r="J54" s="35">
        <v>1880</v>
      </c>
      <c r="K54" s="57">
        <f t="shared" si="0"/>
        <v>74.285714285714292</v>
      </c>
      <c r="L54" s="55">
        <f t="shared" si="1"/>
        <v>686.4</v>
      </c>
      <c r="M54" s="1"/>
      <c r="N54" s="1">
        <f t="shared" si="2"/>
        <v>46143</v>
      </c>
      <c r="O54" s="1">
        <f t="shared" si="3"/>
        <v>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"/>
      <c r="B55" s="34">
        <v>46174</v>
      </c>
      <c r="C55" s="36">
        <v>16</v>
      </c>
      <c r="D55" s="56">
        <v>1210</v>
      </c>
      <c r="E55" s="38">
        <v>4.8</v>
      </c>
      <c r="F55" s="40">
        <v>0.99</v>
      </c>
      <c r="G55" s="36">
        <v>8</v>
      </c>
      <c r="H55" s="36">
        <v>0</v>
      </c>
      <c r="I55" s="42">
        <v>1</v>
      </c>
      <c r="J55" s="36">
        <v>1990</v>
      </c>
      <c r="K55" s="58">
        <f t="shared" si="0"/>
        <v>75.625</v>
      </c>
      <c r="L55" s="56">
        <f t="shared" si="1"/>
        <v>798.6</v>
      </c>
      <c r="M55" s="1"/>
      <c r="N55" s="1">
        <f t="shared" si="2"/>
        <v>46174</v>
      </c>
      <c r="O55" s="1">
        <f t="shared" si="3"/>
        <v>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x14ac:dyDescent="0.3">
      <c r="A57" s="1"/>
      <c r="B57" s="15" t="s">
        <v>44</v>
      </c>
      <c r="C57" s="1"/>
      <c r="D57" s="1"/>
      <c r="E57" s="1"/>
      <c r="F57" s="1"/>
      <c r="G57" s="1"/>
      <c r="H57" s="15" t="s">
        <v>55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31" t="s">
        <v>45</v>
      </c>
      <c r="C58" s="32" t="s">
        <v>35</v>
      </c>
      <c r="D58" s="32" t="s">
        <v>46</v>
      </c>
      <c r="E58" s="32" t="s">
        <v>47</v>
      </c>
      <c r="F58" s="32" t="s">
        <v>36</v>
      </c>
      <c r="G58" s="1"/>
      <c r="H58" s="31" t="s">
        <v>56</v>
      </c>
      <c r="I58" s="32" t="s">
        <v>57</v>
      </c>
      <c r="J58" s="32" t="s">
        <v>35</v>
      </c>
      <c r="K58" s="32" t="s">
        <v>58</v>
      </c>
      <c r="L58" s="32" t="s">
        <v>59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95" customHeight="1" x14ac:dyDescent="0.25">
      <c r="A59" s="1"/>
      <c r="B59" s="18" t="s">
        <v>48</v>
      </c>
      <c r="C59" s="22">
        <v>62</v>
      </c>
      <c r="D59" s="59">
        <v>4850</v>
      </c>
      <c r="E59" s="24">
        <f>D59/SUM($D$59:$D$64)</f>
        <v>0.38492063492063494</v>
      </c>
      <c r="F59" s="47">
        <v>4.8</v>
      </c>
      <c r="G59" s="1"/>
      <c r="H59" s="18" t="s">
        <v>60</v>
      </c>
      <c r="I59" s="20" t="s">
        <v>61</v>
      </c>
      <c r="J59" s="22">
        <v>24</v>
      </c>
      <c r="K59" s="59">
        <v>4850</v>
      </c>
      <c r="L59" s="49"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95" customHeight="1" x14ac:dyDescent="0.25">
      <c r="A60" s="1"/>
      <c r="B60" s="19" t="s">
        <v>49</v>
      </c>
      <c r="C60" s="27">
        <v>48</v>
      </c>
      <c r="D60" s="53">
        <v>2200</v>
      </c>
      <c r="E60" s="25">
        <f>D60/SUM($D$59:$D$64)</f>
        <v>0.17460317460317459</v>
      </c>
      <c r="F60" s="23">
        <v>4.7</v>
      </c>
      <c r="G60" s="1"/>
      <c r="H60" s="19" t="s">
        <v>62</v>
      </c>
      <c r="I60" s="21" t="s">
        <v>63</v>
      </c>
      <c r="J60" s="27">
        <v>18</v>
      </c>
      <c r="K60" s="53">
        <v>3120</v>
      </c>
      <c r="L60" s="50">
        <v>4.9000000000000004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95" customHeight="1" x14ac:dyDescent="0.25">
      <c r="A61" s="1"/>
      <c r="B61" s="18" t="s">
        <v>50</v>
      </c>
      <c r="C61" s="22">
        <v>35</v>
      </c>
      <c r="D61" s="59">
        <v>1450</v>
      </c>
      <c r="E61" s="24">
        <f>D61/SUM($D$59:$D$64)</f>
        <v>0.11507936507936507</v>
      </c>
      <c r="F61" s="47">
        <v>4.5999999999999996</v>
      </c>
      <c r="G61" s="1"/>
      <c r="H61" s="18" t="s">
        <v>64</v>
      </c>
      <c r="I61" s="20" t="s">
        <v>65</v>
      </c>
      <c r="J61" s="22">
        <v>16</v>
      </c>
      <c r="K61" s="59">
        <v>2740</v>
      </c>
      <c r="L61" s="49">
        <v>4.8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.95" customHeight="1" x14ac:dyDescent="0.25">
      <c r="A62" s="1"/>
      <c r="B62" s="19" t="s">
        <v>51</v>
      </c>
      <c r="C62" s="27">
        <v>22</v>
      </c>
      <c r="D62" s="53">
        <v>1850</v>
      </c>
      <c r="E62" s="25">
        <f>D62/SUM($D$59:$D$64)</f>
        <v>0.14682539682539683</v>
      </c>
      <c r="F62" s="23">
        <v>4.7</v>
      </c>
      <c r="G62" s="1"/>
      <c r="H62" s="19" t="s">
        <v>66</v>
      </c>
      <c r="I62" s="21" t="s">
        <v>67</v>
      </c>
      <c r="J62" s="27">
        <v>14</v>
      </c>
      <c r="K62" s="53">
        <v>2580</v>
      </c>
      <c r="L62" s="50">
        <v>4.9000000000000004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.95" customHeight="1" x14ac:dyDescent="0.25">
      <c r="A63" s="1"/>
      <c r="B63" s="18" t="s">
        <v>52</v>
      </c>
      <c r="C63" s="22">
        <v>18</v>
      </c>
      <c r="D63" s="59">
        <v>1380</v>
      </c>
      <c r="E63" s="24">
        <f>D63/SUM($D$59:$D$64)</f>
        <v>0.10952380952380952</v>
      </c>
      <c r="F63" s="47">
        <v>4.8</v>
      </c>
      <c r="G63" s="1"/>
      <c r="H63" s="18" t="s">
        <v>68</v>
      </c>
      <c r="I63" s="20" t="s">
        <v>69</v>
      </c>
      <c r="J63" s="22">
        <v>19</v>
      </c>
      <c r="K63" s="59">
        <v>2310</v>
      </c>
      <c r="L63" s="49">
        <v>4.7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.95" customHeight="1" x14ac:dyDescent="0.25">
      <c r="A64" s="1"/>
      <c r="B64" s="19" t="s">
        <v>53</v>
      </c>
      <c r="C64" s="27">
        <v>13</v>
      </c>
      <c r="D64" s="53">
        <v>870</v>
      </c>
      <c r="E64" s="25">
        <f>D64/SUM($D$59:$D$64)</f>
        <v>6.9047619047619052E-2</v>
      </c>
      <c r="F64" s="23">
        <v>4.5999999999999996</v>
      </c>
      <c r="G64" s="1"/>
      <c r="H64" s="19" t="s">
        <v>70</v>
      </c>
      <c r="I64" s="21" t="s">
        <v>71</v>
      </c>
      <c r="J64" s="27">
        <v>12</v>
      </c>
      <c r="K64" s="53">
        <v>2150</v>
      </c>
      <c r="L64" s="50">
        <v>4.8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 x14ac:dyDescent="0.25">
      <c r="A65" s="1"/>
      <c r="B65" s="44" t="s">
        <v>54</v>
      </c>
      <c r="C65" s="45">
        <f>SUM(C59:C64)</f>
        <v>198</v>
      </c>
      <c r="D65" s="60">
        <f>SUM(D59:D64)</f>
        <v>12600</v>
      </c>
      <c r="E65" s="46">
        <f>SUM(E59:E64)</f>
        <v>1</v>
      </c>
      <c r="F65" s="48">
        <f>AVERAGE(F59:F64)</f>
        <v>4.7</v>
      </c>
      <c r="G65" s="1"/>
      <c r="H65" s="44" t="s">
        <v>54</v>
      </c>
      <c r="I65" s="43"/>
      <c r="J65" s="45">
        <f>SUM(J59:J64)</f>
        <v>103</v>
      </c>
      <c r="K65" s="60">
        <f>SUM(K59:K64)</f>
        <v>17750</v>
      </c>
      <c r="L65" s="51">
        <f>AVERAGE(L59:L64)</f>
        <v>4.8500000000000005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x14ac:dyDescent="0.3">
      <c r="A67" s="1"/>
      <c r="B67" s="15" t="s">
        <v>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14" ht="18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8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8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8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8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8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8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8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8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8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8" customHeight="1" x14ac:dyDescent="0.25">
      <c r="A110" s="1"/>
      <c r="B110" s="52" t="s">
        <v>74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1"/>
    </row>
  </sheetData>
  <mergeCells count="19">
    <mergeCell ref="L5:M5"/>
    <mergeCell ref="L6:M6"/>
    <mergeCell ref="L7:M7"/>
    <mergeCell ref="B110:M110"/>
    <mergeCell ref="H5:I5"/>
    <mergeCell ref="H6:I6"/>
    <mergeCell ref="H7:I7"/>
    <mergeCell ref="J5:K5"/>
    <mergeCell ref="J6:K6"/>
    <mergeCell ref="J7:K7"/>
    <mergeCell ref="B5:C5"/>
    <mergeCell ref="B6:C6"/>
    <mergeCell ref="B7:C7"/>
    <mergeCell ref="D5:E5"/>
    <mergeCell ref="D6:E6"/>
    <mergeCell ref="D7:E7"/>
    <mergeCell ref="F5:G5"/>
    <mergeCell ref="F6:G6"/>
    <mergeCell ref="F7:G7"/>
  </mergeCells>
  <conditionalFormatting sqref="H11:H22">
    <cfRule type="cellIs" dxfId="3" priority="1" operator="equal">
      <formula>"On Track"</formula>
    </cfRule>
  </conditionalFormatting>
  <conditionalFormatting sqref="H11:H22">
    <cfRule type="cellIs" dxfId="2" priority="2" operator="equal">
      <formula>"Below Target"</formula>
    </cfRule>
  </conditionalFormatting>
  <conditionalFormatting sqref="G11:G22">
    <cfRule type="cellIs" dxfId="1" priority="3" operator="greaterThan">
      <formula>0</formula>
    </cfRule>
  </conditionalFormatting>
  <conditionalFormatting sqref="G11:G22">
    <cfRule type="cellIs" dxfId="0" priority="4" operator="lessThan">
      <formula>0</formula>
    </cfRule>
  </conditionalFormatting>
  <conditionalFormatting sqref="D26:D55">
    <cfRule type="dataBar" priority="5">
      <dataBar>
        <cfvo type="min"/>
        <cfvo type="max"/>
        <color rgb="FFD4AF37"/>
      </dataBar>
      <extLst>
        <ext xmlns:x14="http://schemas.microsoft.com/office/spreadsheetml/2009/9/main" uri="{B025F937-C7B1-47D3-B67F-A62EFF666E3E}">
          <x14:id>{B373F151-C78B-46AA-8929-8DE75565F59C}</x14:id>
        </ext>
      </extLst>
    </cfRule>
  </conditionalFormatting>
  <conditionalFormatting sqref="C26:C55">
    <cfRule type="colorScale" priority="6">
      <colorScale>
        <cfvo type="min"/>
        <cfvo type="max"/>
        <color rgb="FF13294B"/>
        <color rgb="FF2ECC71"/>
      </colorScale>
    </cfRule>
  </conditionalFormatting>
  <conditionalFormatting sqref="E59:E64">
    <cfRule type="dataBar" priority="7">
      <dataBar>
        <cfvo type="min"/>
        <cfvo type="max"/>
        <color rgb="FFD4AF37"/>
      </dataBar>
      <extLst>
        <ext xmlns:x14="http://schemas.microsoft.com/office/spreadsheetml/2009/9/main" uri="{B025F937-C7B1-47D3-B67F-A62EFF666E3E}">
          <x14:id>{7EE65D26-B76B-4754-8EF5-C8A67B2E07FE}</x14:id>
        </ext>
      </extLst>
    </cfRule>
  </conditionalFormatting>
  <conditionalFormatting sqref="K59:K64">
    <cfRule type="dataBar" priority="8">
      <dataBar>
        <cfvo type="min"/>
        <cfvo type="max"/>
        <color rgb="FF3498DB"/>
      </dataBar>
      <extLst>
        <ext xmlns:x14="http://schemas.microsoft.com/office/spreadsheetml/2009/9/main" uri="{B025F937-C7B1-47D3-B67F-A62EFF666E3E}">
          <x14:id>{6DFD1308-4BC8-4C35-BDE8-2CB115A708C1}</x14:id>
        </ext>
      </extLst>
    </cfRule>
  </conditionalFormatting>
  <pageMargins left="0.75" right="0.75" top="1" bottom="1" header="0.5" footer="0.5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73F151-C78B-46AA-8929-8DE75565F59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D26:D55</xm:sqref>
        </x14:conditionalFormatting>
        <x14:conditionalFormatting xmlns:xm="http://schemas.microsoft.com/office/excel/2006/main">
          <x14:cfRule type="dataBar" id="{7EE65D26-B76B-4754-8EF5-C8A67B2E07FE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E59:E64</xm:sqref>
        </x14:conditionalFormatting>
        <x14:conditionalFormatting xmlns:xm="http://schemas.microsoft.com/office/excel/2006/main">
          <x14:cfRule type="dataBar" id="{6DFD1308-4BC8-4C35-BDE8-2CB115A708C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K59:K64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Raza</cp:lastModifiedBy>
  <dcterms:created xsi:type="dcterms:W3CDTF">2026-05-10T10:23:56Z</dcterms:created>
  <dcterms:modified xsi:type="dcterms:W3CDTF">2026-05-14T10:55:39Z</dcterms:modified>
</cp:coreProperties>
</file>