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rketing Dashboard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<sst xmlns="http://schemas.openxmlformats.org/spreadsheetml/2006/main" count="50" uniqueCount="37">
  <si>
    <t xml:space="preserve">MARKETING CAMPAIGN ANALYTICS</t>
  </si>
  <si>
    <t xml:space="preserve">  Multi-channel spend · conversions · CAC · ROAS · live formula-driven dashboard</t>
  </si>
  <si>
    <t xml:space="preserve">TOTAL SPEND</t>
  </si>
  <si>
    <t xml:space="preserve">TOTAL CONVERSIONS</t>
  </si>
  <si>
    <t xml:space="preserve">BLENDED CAC</t>
  </si>
  <si>
    <t xml:space="preserve">BLENDED ROAS</t>
  </si>
  <si>
    <t xml:space="preserve">CAMPAIGN PERFORMANCE</t>
  </si>
  <si>
    <t xml:space="preserve">Campaign</t>
  </si>
  <si>
    <t xml:space="preserve">Channel</t>
  </si>
  <si>
    <t xml:space="preserve">Spend</t>
  </si>
  <si>
    <t xml:space="preserve">Impressions</t>
  </si>
  <si>
    <t xml:space="preserve">Clicks</t>
  </si>
  <si>
    <t xml:space="preserve">CTR</t>
  </si>
  <si>
    <t xml:space="preserve">Conversions</t>
  </si>
  <si>
    <t xml:space="preserve">CVR</t>
  </si>
  <si>
    <t xml:space="preserve">CAC</t>
  </si>
  <si>
    <t xml:space="preserve">ROAS</t>
  </si>
  <si>
    <t xml:space="preserve">Spring Promo</t>
  </si>
  <si>
    <t xml:space="preserve">Google Ads</t>
  </si>
  <si>
    <t xml:space="preserve">Brand Awareness</t>
  </si>
  <si>
    <t xml:space="preserve">Meta Ads</t>
  </si>
  <si>
    <t xml:space="preserve">Retargeting</t>
  </si>
  <si>
    <t xml:space="preserve">LinkedIn Pro</t>
  </si>
  <si>
    <t xml:space="preserve">LinkedIn</t>
  </si>
  <si>
    <t xml:space="preserve">YouTube Pre-roll</t>
  </si>
  <si>
    <t xml:space="preserve">YouTube</t>
  </si>
  <si>
    <t xml:space="preserve">Email Drip</t>
  </si>
  <si>
    <t xml:space="preserve">Email</t>
  </si>
  <si>
    <t xml:space="preserve">SEO Content</t>
  </si>
  <si>
    <t xml:space="preserve">Organic</t>
  </si>
  <si>
    <t xml:space="preserve">Influencer #1</t>
  </si>
  <si>
    <t xml:space="preserve">Influencer</t>
  </si>
  <si>
    <t xml:space="preserve">TikTok Boost</t>
  </si>
  <si>
    <t xml:space="preserve">TikTok</t>
  </si>
  <si>
    <t xml:space="preserve">Podcast Sponsor</t>
  </si>
  <si>
    <t xml:space="preserve">Podcast</t>
  </si>
  <si>
    <t xml:space="preserve">PERFORMANCE BY CHANNEL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</si>
</sst>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\$#,##0"/>
    <numFmt numFmtId="166" formatCode="#,##0"/>
    <numFmt numFmtId="167" formatCode="\$#,##0.00"/>
    <numFmt numFmtId="168" formatCode="0.00\x"/>
    <numFmt numFmtId="169" formatCode="\$#,##0;&quot;($&quot;#,##0\);\-"/>
    <numFmt numFmtId="170" formatCode="#,##0;\(#,##0\);\-"/>
    <numFmt numFmtId="171" formatCode="0.0%;\(0.0%\);\-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Calibri"/>
      <family val="0"/>
      <charset val="1"/>
    </font>
    <font>
      <sz val="10"/>
      <name val="Calibri"/>
      <family val="0"/>
      <charset val="1"/>
    </font>
    <font>
      <i val="true"/>
      <sz val="10"/>
      <color rgb="FFFFFFFF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22"/>
      <color rgb="FFFFFFFF"/>
      <name val="Calibri"/>
      <family val="0"/>
      <charset val="1"/>
    </font>
    <font>
      <b val="true"/>
      <sz val="12"/>
      <color rgb="FF9D174D"/>
      <name val="Calibri"/>
      <family val="0"/>
      <charset val="1"/>
    </font>
    <font>
      <b val="true"/>
      <sz val="10"/>
      <color rgb="FF1F2937"/>
      <name val="Calibri"/>
      <family val="0"/>
      <charset val="1"/>
    </font>
    <font>
      <b val="true"/>
      <sz val="10"/>
      <color rgb="FF1E40AF"/>
      <name val="Calibri"/>
      <family val="0"/>
      <charset val="1"/>
    </font>
    <font>
      <sz val="10"/>
      <color rgb="FF1F2937"/>
      <name val="Calibri"/>
      <family val="0"/>
      <charset val="1"/>
    </font>
    <font>
      <b val="true"/>
      <sz val="10"/>
      <color rgb="FF3730A3"/>
      <name val="Calibri"/>
      <family val="0"/>
      <charset val="1"/>
    </font>
    <font>
      <b val="true"/>
      <sz val="10"/>
      <color rgb="FF0E7490"/>
      <name val="Calibri"/>
      <family val="0"/>
      <charset val="1"/>
    </font>
    <font>
      <b val="true"/>
      <sz val="10"/>
      <color rgb="FF991B1B"/>
      <name val="Calibri"/>
      <family val="0"/>
      <charset val="1"/>
    </font>
    <font>
      <b val="true"/>
      <sz val="10"/>
      <color rgb="FF166534"/>
      <name val="Calibri"/>
      <family val="0"/>
      <charset val="1"/>
    </font>
    <font>
      <b val="true"/>
      <sz val="10"/>
      <color rgb="FF065F46"/>
      <name val="Calibri"/>
      <family val="0"/>
      <charset val="1"/>
    </font>
    <font>
      <b val="true"/>
      <sz val="10"/>
      <color rgb="FF9D174D"/>
      <name val="Calibri"/>
      <family val="0"/>
      <charset val="1"/>
    </font>
    <font>
      <b val="true"/>
      <sz val="10"/>
      <color rgb="FF6B21A8"/>
      <name val="Calibri"/>
      <family val="0"/>
      <charset val="1"/>
    </font>
    <font>
      <b val="true"/>
      <sz val="10"/>
      <color rgb="FF92400E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rgb="FFBE185D"/>
        <bgColor rgb="FF9D174D"/>
      </patternFill>
    </fill>
    <fill>
      <patternFill patternType="solid">
        <fgColor rgb="FF7C3AED"/>
        <bgColor rgb="FF6B21A8"/>
      </patternFill>
    </fill>
    <fill>
      <patternFill patternType="solid">
        <fgColor rgb="FF9D174D"/>
        <bgColor rgb="FF991B1B"/>
      </patternFill>
    </fill>
    <fill>
      <patternFill patternType="solid">
        <fgColor rgb="FFFDF2F8"/>
        <bgColor rgb="FFFAFAFB"/>
      </patternFill>
    </fill>
    <fill>
      <patternFill patternType="solid">
        <fgColor rgb="FFDBEAFE"/>
        <bgColor rgb="FFE0E7FF"/>
      </patternFill>
    </fill>
    <fill>
      <patternFill patternType="solid">
        <fgColor rgb="FFFAFAFB"/>
        <bgColor rgb="FFFFFFFF"/>
      </patternFill>
    </fill>
    <fill>
      <patternFill patternType="solid">
        <fgColor rgb="FFE0E7FF"/>
        <bgColor rgb="FFDBEAFE"/>
      </patternFill>
    </fill>
    <fill>
      <patternFill patternType="solid">
        <fgColor rgb="FFCFFAFE"/>
        <bgColor rgb="FFD1FAE5"/>
      </patternFill>
    </fill>
    <fill>
      <patternFill patternType="solid">
        <fgColor rgb="FFFEE2E2"/>
        <bgColor rgb="FFFCE7F3"/>
      </patternFill>
    </fill>
    <fill>
      <patternFill patternType="solid">
        <fgColor rgb="FFDCFCE7"/>
        <bgColor rgb="FFD1FAE5"/>
      </patternFill>
    </fill>
    <fill>
      <patternFill patternType="solid">
        <fgColor rgb="FFD1FAE5"/>
        <bgColor rgb="FFDCFCE7"/>
      </patternFill>
    </fill>
    <fill>
      <patternFill patternType="solid">
        <fgColor rgb="FFFCE7F3"/>
        <bgColor rgb="FFF3E8FF"/>
      </patternFill>
    </fill>
    <fill>
      <patternFill patternType="solid">
        <fgColor rgb="FFF3E8FF"/>
        <bgColor rgb="FFFCE7F3"/>
      </patternFill>
    </fill>
    <fill>
      <patternFill patternType="solid">
        <fgColor rgb="FFFEF3C7"/>
        <bgColor rgb="FFFEE2E2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ck">
        <color rgb="FF7C3AED"/>
      </left>
      <right/>
      <top/>
      <bottom style="thin">
        <color rgb="FF7C3AED"/>
      </bottom>
      <diagonal/>
    </border>
    <border diagonalUp="false" diagonalDown="false">
      <left style="thin">
        <color rgb="FFBE185D"/>
      </left>
      <right style="thin">
        <color rgb="FFBE185D"/>
      </right>
      <top style="thin">
        <color rgb="FFBE185D"/>
      </top>
      <bottom style="thin">
        <color rgb="FFBE185D"/>
      </bottom>
      <diagonal/>
    </border>
    <border diagonalUp="false" diagonalDown="false"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7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8" fillId="4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8" fillId="4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8" fillId="4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8" fillId="4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7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3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11" fillId="6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12" fillId="0" borderId="3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0" fontId="12" fillId="0" borderId="3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1" fontId="12" fillId="0" borderId="3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8" fontId="12" fillId="0" borderId="3" xfId="0" applyFont="true" applyBorder="true" applyAlignment="true" applyProtection="true">
      <alignment horizontal="right" vertical="center" textRotation="0" wrapText="false" indent="1" shrinkToFit="false"/>
      <protection locked="true" hidden="false"/>
    </xf>
    <xf numFmtId="164" fontId="10" fillId="7" borderId="3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13" fillId="8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12" fillId="7" borderId="3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0" fontId="12" fillId="7" borderId="3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1" fontId="12" fillId="7" borderId="3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8" fontId="12" fillId="7" borderId="3" xfId="0" applyFont="true" applyBorder="true" applyAlignment="true" applyProtection="true">
      <alignment horizontal="right" vertical="center" textRotation="0" wrapText="false" indent="1" shrinkToFit="false"/>
      <protection locked="true" hidden="false"/>
    </xf>
    <xf numFmtId="164" fontId="14" fillId="9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1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11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12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13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9" fillId="14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0" fillId="15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6" borderId="3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13" fillId="8" borderId="3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14" fillId="9" borderId="3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15" fillId="10" borderId="3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16" fillId="11" borderId="3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17" fillId="12" borderId="3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18" fillId="13" borderId="3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19" fillId="14" borderId="3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20" fillId="15" borderId="3" xfId="0" applyFont="true" applyBorder="true" applyAlignment="true" applyProtection="true">
      <alignment horizontal="left" vertical="center" textRotation="0" wrapText="fals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DF2F8"/>
      <rgbColor rgb="FFFF00FF"/>
      <rgbColor rgb="FF00FFFF"/>
      <rgbColor rgb="FF991B1B"/>
      <rgbColor rgb="FF166534"/>
      <rgbColor rgb="FF000080"/>
      <rgbColor rgb="FF808000"/>
      <rgbColor rgb="FF6B21A8"/>
      <rgbColor rgb="FF0E7490"/>
      <rgbColor rgb="FFE5E7EB"/>
      <rgbColor rgb="FF808080"/>
      <rgbColor rgb="FFF3E8FF"/>
      <rgbColor rgb="FF9D174D"/>
      <rgbColor rgb="FFFEF3C7"/>
      <rgbColor rgb="FFCFFAFE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65F46"/>
      <rgbColor rgb="FF0000FF"/>
      <rgbColor rgb="FF00CCFF"/>
      <rgbColor rgb="FFDCFCE7"/>
      <rgbColor rgb="FFD1FAE5"/>
      <rgbColor rgb="FFFAFAFB"/>
      <rgbColor rgb="FFDBEAFE"/>
      <rgbColor rgb="FFFCE7F3"/>
      <rgbColor rgb="FFE0E7FF"/>
      <rgbColor rgb="FFFEE2E2"/>
      <rgbColor rgb="FF7C3AED"/>
      <rgbColor rgb="FF33CCCC"/>
      <rgbColor rgb="FF99CC00"/>
      <rgbColor rgb="FFFFCC00"/>
      <rgbColor rgb="FFFF9900"/>
      <rgbColor rgb="FFFF6600"/>
      <rgbColor rgb="FF4F81BD"/>
      <rgbColor rgb="FF969696"/>
      <rgbColor rgb="FF1E40AF"/>
      <rgbColor rgb="FF339966"/>
      <rgbColor rgb="FF003300"/>
      <rgbColor rgb="FF333300"/>
      <rgbColor rgb="FF92400E"/>
      <rgbColor rgb="FFBE185D"/>
      <rgbColor rgb="FF3730A3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Spend Share by Channel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'Marketing Dashboard'!B22</c:f>
              <c:strCache>
                <c:ptCount val="1"/>
                <c:pt idx="0">
                  <c:v>Spend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1e40af"/>
              </a:solidFill>
              <a:ln w="0">
                <a:noFill/>
              </a:ln>
            </c:spPr>
          </c:dPt>
          <c:dPt>
            <c:idx val="1"/>
            <c:spPr>
              <a:solidFill>
                <a:srgbClr val="3730a3"/>
              </a:solidFill>
              <a:ln w="0">
                <a:noFill/>
              </a:ln>
            </c:spPr>
          </c:dPt>
          <c:dPt>
            <c:idx val="2"/>
            <c:spPr>
              <a:solidFill>
                <a:srgbClr val="0e7490"/>
              </a:solidFill>
              <a:ln w="0">
                <a:noFill/>
              </a:ln>
            </c:spPr>
          </c:dPt>
          <c:dPt>
            <c:idx val="3"/>
            <c:spPr>
              <a:solidFill>
                <a:srgbClr val="991b1b"/>
              </a:solidFill>
              <a:ln w="0">
                <a:noFill/>
              </a:ln>
            </c:spPr>
          </c:dPt>
          <c:dPt>
            <c:idx val="4"/>
            <c:spPr>
              <a:solidFill>
                <a:srgbClr val="166534"/>
              </a:solidFill>
              <a:ln w="0">
                <a:noFill/>
              </a:ln>
            </c:spPr>
          </c:dPt>
          <c:dPt>
            <c:idx val="5"/>
            <c:spPr>
              <a:solidFill>
                <a:srgbClr val="065f46"/>
              </a:solidFill>
              <a:ln w="0">
                <a:noFill/>
              </a:ln>
            </c:spPr>
          </c:dPt>
          <c:dPt>
            <c:idx val="6"/>
            <c:spPr>
              <a:solidFill>
                <a:srgbClr val="9d174d"/>
              </a:solidFill>
              <a:ln w="0">
                <a:noFill/>
              </a:ln>
            </c:spPr>
          </c:dPt>
          <c:dPt>
            <c:idx val="7"/>
            <c:spPr>
              <a:solidFill>
                <a:srgbClr val="6b21a8"/>
              </a:solidFill>
              <a:ln w="0">
                <a:noFill/>
              </a:ln>
            </c:spPr>
          </c:dPt>
          <c:dPt>
            <c:idx val="8"/>
            <c:spPr>
              <a:solidFill>
                <a:srgbClr val="92400e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5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6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7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8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'Marketing Dashboard'!$A$23:$A$31</c:f>
              <c:strCache>
                <c:ptCount val="9"/>
                <c:pt idx="0">
                  <c:v>Google Ads</c:v>
                </c:pt>
                <c:pt idx="1">
                  <c:v>Meta Ads</c:v>
                </c:pt>
                <c:pt idx="2">
                  <c:v>LinkedIn</c:v>
                </c:pt>
                <c:pt idx="3">
                  <c:v>YouTube</c:v>
                </c:pt>
                <c:pt idx="4">
                  <c:v>Email</c:v>
                </c:pt>
                <c:pt idx="5">
                  <c:v>Organic</c:v>
                </c:pt>
                <c:pt idx="6">
                  <c:v>Influencer</c:v>
                </c:pt>
                <c:pt idx="7">
                  <c:v>TikTok</c:v>
                </c:pt>
                <c:pt idx="8">
                  <c:v>Podcast</c:v>
                </c:pt>
              </c:strCache>
            </c:strRef>
          </c:cat>
          <c:val>
            <c:numRef>
              <c:f>'Marketing Dashboard'!$B$23:$B$31</c:f>
              <c:numCache>
                <c:formatCode>\$#,##0;"($"#,##0\);\-</c:formatCode>
                <c:ptCount val="9"/>
                <c:pt idx="0">
                  <c:v>4200</c:v>
                </c:pt>
                <c:pt idx="1">
                  <c:v>8600</c:v>
                </c:pt>
                <c:pt idx="2">
                  <c:v>3500</c:v>
                </c:pt>
                <c:pt idx="3">
                  <c:v>2900</c:v>
                </c:pt>
                <c:pt idx="4">
                  <c:v>450</c:v>
                </c:pt>
                <c:pt idx="5">
                  <c:v>2400</c:v>
                </c:pt>
                <c:pt idx="6">
                  <c:v>5500</c:v>
                </c:pt>
                <c:pt idx="7">
                  <c:v>2100</c:v>
                </c:pt>
                <c:pt idx="8">
                  <c:v>3800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21</xdr:row>
      <xdr:rowOff>0</xdr:rowOff>
    </xdr:from>
    <xdr:to>
      <xdr:col>9</xdr:col>
      <xdr:colOff>223560</xdr:colOff>
      <xdr:row>33</xdr:row>
      <xdr:rowOff>19800</xdr:rowOff>
    </xdr:to>
    <xdr:graphicFrame>
      <xdr:nvGraphicFramePr>
        <xdr:cNvPr id="0" name="Chart 1"/>
        <xdr:cNvGraphicFramePr/>
      </xdr:nvGraphicFramePr>
      <xdr:xfrm>
        <a:off x="4017600" y="6181560"/>
        <a:ext cx="395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4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4"/>
    <col collapsed="false" customWidth="true" hidden="false" outlineLevel="0" max="3" min="3" style="1" width="12"/>
    <col collapsed="false" customWidth="true" hidden="false" outlineLevel="0" max="4" min="4" style="1" width="13"/>
    <col collapsed="false" customWidth="true" hidden="false" outlineLevel="0" max="5" min="5" style="1" width="11"/>
    <col collapsed="false" customWidth="true" hidden="false" outlineLevel="0" max="6" min="6" style="1" width="9"/>
    <col collapsed="false" customWidth="true" hidden="false" outlineLevel="0" max="7" min="7" style="1" width="13"/>
    <col collapsed="false" customWidth="true" hidden="false" outlineLevel="0" max="8" min="8" style="1" width="9"/>
    <col collapsed="false" customWidth="true" hidden="false" outlineLevel="0" max="9" min="9" style="1" width="11"/>
    <col collapsed="false" customWidth="true" hidden="false" outlineLevel="0" max="10" min="10" style="1" width="9"/>
  </cols>
  <sheetData>
    <row r="1" customFormat="false" ht="49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3"/>
    </row>
    <row r="2" customFormat="false" ht="21.75" hidden="false" customHeight="true" outlineLevel="0" collapsed="false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3"/>
      <c r="L2" s="3"/>
    </row>
    <row r="3" customFormat="false" ht="7.5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customFormat="false" ht="21.75" hidden="false" customHeight="true" outlineLevel="0" collapsed="false">
      <c r="A4" s="5" t="s">
        <v>2</v>
      </c>
      <c r="B4" s="5"/>
      <c r="C4" s="3"/>
      <c r="D4" s="5" t="s">
        <v>3</v>
      </c>
      <c r="E4" s="5"/>
      <c r="F4" s="3"/>
      <c r="G4" s="5" t="s">
        <v>4</v>
      </c>
      <c r="H4" s="5"/>
      <c r="I4" s="5" t="s">
        <v>5</v>
      </c>
      <c r="J4" s="5"/>
      <c r="K4" s="3"/>
      <c r="L4" s="3"/>
    </row>
    <row r="5" customFormat="false" ht="48" hidden="false" customHeight="true" outlineLevel="0" collapsed="false">
      <c r="A5" s="6" t="n">
        <f aca="false">SUM(C9:C18)</f>
        <v>33450</v>
      </c>
      <c r="B5" s="6"/>
      <c r="C5" s="3"/>
      <c r="D5" s="7" t="n">
        <f aca="false">SUM(G9:G18)</f>
        <v>3472</v>
      </c>
      <c r="E5" s="7"/>
      <c r="F5" s="3"/>
      <c r="G5" s="8" t="n">
        <f aca="false">SUM(C9:C18)/SUM(G9:G18)</f>
        <v>9.63421658986175</v>
      </c>
      <c r="H5" s="8"/>
      <c r="I5" s="9" t="n">
        <f aca="false">SUM(G9:G18)*145/SUM(C9:C18)</f>
        <v>15.0505231689088</v>
      </c>
      <c r="J5" s="9"/>
      <c r="K5" s="3"/>
      <c r="L5" s="3"/>
    </row>
    <row r="6" customFormat="false" ht="12" hidden="false" customHeight="true" outlineLevel="0" collapsed="false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customFormat="false" ht="25.5" hidden="false" customHeight="true" outlineLevel="0" collapsed="false">
      <c r="A7" s="10" t="s">
        <v>6</v>
      </c>
      <c r="B7" s="10"/>
      <c r="C7" s="10"/>
      <c r="D7" s="10"/>
      <c r="E7" s="10"/>
      <c r="F7" s="10"/>
      <c r="G7" s="10"/>
      <c r="H7" s="10"/>
      <c r="I7" s="10"/>
      <c r="J7" s="10"/>
      <c r="K7" s="3"/>
      <c r="L7" s="3"/>
    </row>
    <row r="8" customFormat="false" ht="27.75" hidden="false" customHeight="true" outlineLevel="0" collapsed="false">
      <c r="A8" s="11" t="s">
        <v>7</v>
      </c>
      <c r="B8" s="11" t="s">
        <v>8</v>
      </c>
      <c r="C8" s="11" t="s">
        <v>9</v>
      </c>
      <c r="D8" s="11" t="s">
        <v>10</v>
      </c>
      <c r="E8" s="11" t="s">
        <v>11</v>
      </c>
      <c r="F8" s="11" t="s">
        <v>12</v>
      </c>
      <c r="G8" s="11" t="s">
        <v>13</v>
      </c>
      <c r="H8" s="11" t="s">
        <v>14</v>
      </c>
      <c r="I8" s="11" t="s">
        <v>15</v>
      </c>
      <c r="J8" s="11" t="s">
        <v>16</v>
      </c>
      <c r="K8" s="3"/>
      <c r="L8" s="3"/>
    </row>
    <row r="9" customFormat="false" ht="21.75" hidden="false" customHeight="true" outlineLevel="0" collapsed="false">
      <c r="A9" s="12" t="s">
        <v>17</v>
      </c>
      <c r="B9" s="13" t="s">
        <v>18</v>
      </c>
      <c r="C9" s="14" t="n">
        <v>4200</v>
      </c>
      <c r="D9" s="15" t="n">
        <v>580000</v>
      </c>
      <c r="E9" s="15" t="n">
        <v>11200</v>
      </c>
      <c r="F9" s="16" t="n">
        <f aca="false">E9/D9</f>
        <v>0.0193103448275862</v>
      </c>
      <c r="G9" s="15" t="n">
        <v>840</v>
      </c>
      <c r="H9" s="16" t="n">
        <f aca="false">G9/E9</f>
        <v>0.075</v>
      </c>
      <c r="I9" s="14" t="n">
        <f aca="false">C9/G9</f>
        <v>5</v>
      </c>
      <c r="J9" s="17" t="n">
        <f aca="false">G9*195/C9</f>
        <v>39</v>
      </c>
      <c r="K9" s="3"/>
      <c r="L9" s="3"/>
    </row>
    <row r="10" customFormat="false" ht="21.75" hidden="false" customHeight="true" outlineLevel="0" collapsed="false">
      <c r="A10" s="18" t="s">
        <v>19</v>
      </c>
      <c r="B10" s="19" t="s">
        <v>20</v>
      </c>
      <c r="C10" s="20" t="n">
        <v>6800</v>
      </c>
      <c r="D10" s="21" t="n">
        <v>1240000</v>
      </c>
      <c r="E10" s="21" t="n">
        <v>16500</v>
      </c>
      <c r="F10" s="22" t="n">
        <f aca="false">E10/D10</f>
        <v>0.0133064516129032</v>
      </c>
      <c r="G10" s="21" t="n">
        <v>612</v>
      </c>
      <c r="H10" s="22" t="n">
        <f aca="false">G10/E10</f>
        <v>0.0370909090909091</v>
      </c>
      <c r="I10" s="20" t="n">
        <f aca="false">C10/G10</f>
        <v>11.1111111111111</v>
      </c>
      <c r="J10" s="23" t="n">
        <f aca="false">G10*1410/C10</f>
        <v>126.9</v>
      </c>
      <c r="K10" s="3"/>
      <c r="L10" s="3"/>
    </row>
    <row r="11" customFormat="false" ht="21.75" hidden="false" customHeight="true" outlineLevel="0" collapsed="false">
      <c r="A11" s="12" t="s">
        <v>21</v>
      </c>
      <c r="B11" s="19" t="s">
        <v>20</v>
      </c>
      <c r="C11" s="14" t="n">
        <v>1800</v>
      </c>
      <c r="D11" s="15" t="n">
        <v>210000</v>
      </c>
      <c r="E11" s="15" t="n">
        <v>8400</v>
      </c>
      <c r="F11" s="16" t="n">
        <f aca="false">E11/D11</f>
        <v>0.04</v>
      </c>
      <c r="G11" s="15" t="n">
        <v>485</v>
      </c>
      <c r="H11" s="16" t="n">
        <f aca="false">G11/E11</f>
        <v>0.0577380952380952</v>
      </c>
      <c r="I11" s="14" t="n">
        <f aca="false">C11/G11</f>
        <v>3.71134020618557</v>
      </c>
      <c r="J11" s="17" t="n">
        <f aca="false">G11*145/C11</f>
        <v>39.0694444444444</v>
      </c>
      <c r="K11" s="3"/>
      <c r="L11" s="3"/>
    </row>
    <row r="12" customFormat="false" ht="21.75" hidden="false" customHeight="true" outlineLevel="0" collapsed="false">
      <c r="A12" s="18" t="s">
        <v>22</v>
      </c>
      <c r="B12" s="24" t="s">
        <v>23</v>
      </c>
      <c r="C12" s="20" t="n">
        <v>3500</v>
      </c>
      <c r="D12" s="21" t="n">
        <v>180000</v>
      </c>
      <c r="E12" s="21" t="n">
        <v>3200</v>
      </c>
      <c r="F12" s="22" t="n">
        <f aca="false">E12/D12</f>
        <v>0.0177777777777778</v>
      </c>
      <c r="G12" s="21" t="n">
        <v>128</v>
      </c>
      <c r="H12" s="22" t="n">
        <f aca="false">G12/E12</f>
        <v>0.04</v>
      </c>
      <c r="I12" s="20" t="n">
        <f aca="false">C12/G12</f>
        <v>27.34375</v>
      </c>
      <c r="J12" s="23" t="n">
        <f aca="false">G12*145/C12</f>
        <v>5.30285714285714</v>
      </c>
      <c r="K12" s="3"/>
      <c r="L12" s="3"/>
    </row>
    <row r="13" customFormat="false" ht="21.75" hidden="false" customHeight="true" outlineLevel="0" collapsed="false">
      <c r="A13" s="12" t="s">
        <v>24</v>
      </c>
      <c r="B13" s="25" t="s">
        <v>25</v>
      </c>
      <c r="C13" s="14" t="n">
        <v>2900</v>
      </c>
      <c r="D13" s="15" t="n">
        <v>890000</v>
      </c>
      <c r="E13" s="15" t="n">
        <v>4200</v>
      </c>
      <c r="F13" s="16" t="n">
        <f aca="false">E13/D13</f>
        <v>0.00471910112359551</v>
      </c>
      <c r="G13" s="15" t="n">
        <v>142</v>
      </c>
      <c r="H13" s="16" t="n">
        <f aca="false">G13/E13</f>
        <v>0.0338095238095238</v>
      </c>
      <c r="I13" s="14" t="n">
        <f aca="false">C13/G13</f>
        <v>20.4225352112676</v>
      </c>
      <c r="J13" s="17" t="n">
        <f aca="false">G13*145/C13</f>
        <v>7.1</v>
      </c>
      <c r="K13" s="3"/>
      <c r="L13" s="3"/>
    </row>
    <row r="14" customFormat="false" ht="21.75" hidden="false" customHeight="true" outlineLevel="0" collapsed="false">
      <c r="A14" s="18" t="s">
        <v>26</v>
      </c>
      <c r="B14" s="26" t="s">
        <v>27</v>
      </c>
      <c r="C14" s="20" t="n">
        <v>450</v>
      </c>
      <c r="D14" s="21" t="n">
        <v>68000</v>
      </c>
      <c r="E14" s="21" t="n">
        <v>4800</v>
      </c>
      <c r="F14" s="22" t="n">
        <f aca="false">E14/D14</f>
        <v>0.0705882352941177</v>
      </c>
      <c r="G14" s="21" t="n">
        <v>328</v>
      </c>
      <c r="H14" s="22" t="n">
        <f aca="false">G14/E14</f>
        <v>0.0683333333333333</v>
      </c>
      <c r="I14" s="20" t="n">
        <f aca="false">C14/G14</f>
        <v>1.3719512195122</v>
      </c>
      <c r="J14" s="23" t="n">
        <f aca="false">G14*145/C14</f>
        <v>105.688888888889</v>
      </c>
      <c r="K14" s="3"/>
      <c r="L14" s="3"/>
    </row>
    <row r="15" customFormat="false" ht="21.75" hidden="false" customHeight="true" outlineLevel="0" collapsed="false">
      <c r="A15" s="12" t="s">
        <v>28</v>
      </c>
      <c r="B15" s="27" t="s">
        <v>29</v>
      </c>
      <c r="C15" s="14" t="n">
        <v>2400</v>
      </c>
      <c r="D15" s="15" t="n">
        <v>425000</v>
      </c>
      <c r="E15" s="15" t="n">
        <v>12500</v>
      </c>
      <c r="F15" s="16" t="n">
        <f aca="false">E15/D15</f>
        <v>0.0294117647058824</v>
      </c>
      <c r="G15" s="15" t="n">
        <v>512</v>
      </c>
      <c r="H15" s="16" t="n">
        <f aca="false">G15/E15</f>
        <v>0.04096</v>
      </c>
      <c r="I15" s="14" t="n">
        <f aca="false">C15/G15</f>
        <v>4.6875</v>
      </c>
      <c r="J15" s="17" t="n">
        <f aca="false">G15*145/C15</f>
        <v>30.9333333333333</v>
      </c>
      <c r="K15" s="3"/>
      <c r="L15" s="3"/>
    </row>
    <row r="16" customFormat="false" ht="21.75" hidden="false" customHeight="true" outlineLevel="0" collapsed="false">
      <c r="A16" s="18" t="s">
        <v>30</v>
      </c>
      <c r="B16" s="28" t="s">
        <v>31</v>
      </c>
      <c r="C16" s="20" t="n">
        <v>5500</v>
      </c>
      <c r="D16" s="21" t="n">
        <v>310000</v>
      </c>
      <c r="E16" s="21" t="n">
        <v>5800</v>
      </c>
      <c r="F16" s="22" t="n">
        <f aca="false">E16/D16</f>
        <v>0.0187096774193548</v>
      </c>
      <c r="G16" s="21" t="n">
        <v>201</v>
      </c>
      <c r="H16" s="22" t="n">
        <f aca="false">G16/E16</f>
        <v>0.0346551724137931</v>
      </c>
      <c r="I16" s="20" t="n">
        <f aca="false">C16/G16</f>
        <v>27.363184079602</v>
      </c>
      <c r="J16" s="23" t="n">
        <f aca="false">G16*145/C16</f>
        <v>5.29909090909091</v>
      </c>
      <c r="K16" s="3"/>
      <c r="L16" s="3"/>
    </row>
    <row r="17" customFormat="false" ht="21.75" hidden="false" customHeight="true" outlineLevel="0" collapsed="false">
      <c r="A17" s="12" t="s">
        <v>32</v>
      </c>
      <c r="B17" s="29" t="s">
        <v>33</v>
      </c>
      <c r="C17" s="14" t="n">
        <v>2100</v>
      </c>
      <c r="D17" s="15" t="n">
        <v>720000</v>
      </c>
      <c r="E17" s="15" t="n">
        <v>8900</v>
      </c>
      <c r="F17" s="16" t="n">
        <f aca="false">E17/D17</f>
        <v>0.0123611111111111</v>
      </c>
      <c r="G17" s="15" t="n">
        <v>156</v>
      </c>
      <c r="H17" s="16" t="n">
        <f aca="false">G17/E17</f>
        <v>0.0175280898876405</v>
      </c>
      <c r="I17" s="14" t="n">
        <f aca="false">C17/G17</f>
        <v>13.4615384615385</v>
      </c>
      <c r="J17" s="17" t="n">
        <f aca="false">G17*145/C17</f>
        <v>10.7714285714286</v>
      </c>
      <c r="K17" s="3"/>
      <c r="L17" s="3"/>
    </row>
    <row r="18" customFormat="false" ht="21.75" hidden="false" customHeight="true" outlineLevel="0" collapsed="false">
      <c r="A18" s="18" t="s">
        <v>34</v>
      </c>
      <c r="B18" s="30" t="s">
        <v>35</v>
      </c>
      <c r="C18" s="20" t="n">
        <v>3800</v>
      </c>
      <c r="D18" s="21" t="n">
        <v>95000</v>
      </c>
      <c r="E18" s="21" t="n">
        <v>1200</v>
      </c>
      <c r="F18" s="22" t="n">
        <f aca="false">E18/D18</f>
        <v>0.0126315789473684</v>
      </c>
      <c r="G18" s="21" t="n">
        <v>68</v>
      </c>
      <c r="H18" s="22" t="n">
        <f aca="false">G18/E18</f>
        <v>0.0566666666666667</v>
      </c>
      <c r="I18" s="20" t="n">
        <f aca="false">C18/G18</f>
        <v>55.8823529411765</v>
      </c>
      <c r="J18" s="23" t="n">
        <f aca="false">G18*145/C18</f>
        <v>2.59473684210526</v>
      </c>
      <c r="K18" s="3"/>
      <c r="L18" s="3"/>
    </row>
    <row r="19" customFormat="false" ht="15" hidden="false" customHeight="false" outlineLevel="0" collapsed="false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customFormat="false" ht="15" hidden="false" customHeight="false" outlineLevel="0" collapsed="false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customFormat="false" ht="25.5" hidden="false" customHeight="true" outlineLevel="0" collapsed="false">
      <c r="A21" s="10" t="s">
        <v>36</v>
      </c>
      <c r="B21" s="10"/>
      <c r="C21" s="10"/>
      <c r="D21" s="10"/>
      <c r="E21" s="10"/>
      <c r="F21" s="10"/>
      <c r="G21" s="10"/>
      <c r="H21" s="10"/>
      <c r="I21" s="10"/>
      <c r="J21" s="10"/>
      <c r="K21" s="3"/>
      <c r="L21" s="3"/>
    </row>
    <row r="22" customFormat="false" ht="27.75" hidden="false" customHeight="true" outlineLevel="0" collapsed="false">
      <c r="A22" s="11" t="s">
        <v>8</v>
      </c>
      <c r="B22" s="11" t="s">
        <v>9</v>
      </c>
      <c r="C22" s="11" t="s">
        <v>13</v>
      </c>
      <c r="D22" s="3"/>
      <c r="E22" s="3"/>
      <c r="F22" s="3"/>
      <c r="G22" s="3"/>
      <c r="H22" s="3"/>
      <c r="I22" s="3"/>
      <c r="J22" s="3"/>
      <c r="K22" s="3"/>
      <c r="L22" s="3"/>
    </row>
    <row r="23" customFormat="false" ht="21.75" hidden="false" customHeight="true" outlineLevel="0" collapsed="false">
      <c r="A23" s="31" t="s">
        <v>18</v>
      </c>
      <c r="B23" s="14" t="n">
        <f aca="false">SUMIF(B9:B18,A23,C9:C18)</f>
        <v>4200</v>
      </c>
      <c r="C23" s="15" t="n">
        <f aca="false">SUMIF(B9:B18,A23,G9:G18)</f>
        <v>840</v>
      </c>
      <c r="D23" s="3"/>
      <c r="E23" s="3"/>
      <c r="F23" s="3"/>
      <c r="G23" s="3"/>
      <c r="H23" s="3"/>
      <c r="I23" s="3"/>
      <c r="J23" s="3"/>
      <c r="K23" s="3"/>
      <c r="L23" s="3"/>
    </row>
    <row r="24" customFormat="false" ht="21.75" hidden="false" customHeight="true" outlineLevel="0" collapsed="false">
      <c r="A24" s="32" t="s">
        <v>20</v>
      </c>
      <c r="B24" s="20" t="n">
        <f aca="false">SUMIF(B9:B18,A24,C9:C18)</f>
        <v>8600</v>
      </c>
      <c r="C24" s="21" t="n">
        <f aca="false">SUMIF(B9:B18,A24,G9:G18)</f>
        <v>1097</v>
      </c>
      <c r="D24" s="3"/>
      <c r="E24" s="3"/>
      <c r="F24" s="3"/>
      <c r="G24" s="3"/>
      <c r="H24" s="3"/>
      <c r="I24" s="3"/>
      <c r="J24" s="3"/>
      <c r="K24" s="3"/>
      <c r="L24" s="3"/>
    </row>
    <row r="25" customFormat="false" ht="21.75" hidden="false" customHeight="true" outlineLevel="0" collapsed="false">
      <c r="A25" s="33" t="s">
        <v>23</v>
      </c>
      <c r="B25" s="14" t="n">
        <f aca="false">SUMIF(B9:B18,A25,C9:C18)</f>
        <v>3500</v>
      </c>
      <c r="C25" s="15" t="n">
        <f aca="false">SUMIF(B9:B18,A25,G9:G18)</f>
        <v>128</v>
      </c>
      <c r="D25" s="3"/>
      <c r="E25" s="3"/>
      <c r="F25" s="3"/>
      <c r="G25" s="3"/>
      <c r="H25" s="3"/>
      <c r="I25" s="3"/>
      <c r="J25" s="3"/>
      <c r="K25" s="3"/>
      <c r="L25" s="3"/>
    </row>
    <row r="26" customFormat="false" ht="21.75" hidden="false" customHeight="true" outlineLevel="0" collapsed="false">
      <c r="A26" s="34" t="s">
        <v>25</v>
      </c>
      <c r="B26" s="20" t="n">
        <f aca="false">SUMIF(B9:B18,A26,C9:C18)</f>
        <v>2900</v>
      </c>
      <c r="C26" s="21" t="n">
        <f aca="false">SUMIF(B9:B18,A26,G9:G18)</f>
        <v>142</v>
      </c>
      <c r="D26" s="3"/>
      <c r="E26" s="3"/>
      <c r="F26" s="3"/>
      <c r="G26" s="3"/>
      <c r="H26" s="3"/>
      <c r="I26" s="3"/>
      <c r="J26" s="3"/>
      <c r="K26" s="3"/>
      <c r="L26" s="3"/>
    </row>
    <row r="27" customFormat="false" ht="21.75" hidden="false" customHeight="true" outlineLevel="0" collapsed="false">
      <c r="A27" s="35" t="s">
        <v>27</v>
      </c>
      <c r="B27" s="14" t="n">
        <f aca="false">SUMIF(B9:B18,A27,C9:C18)</f>
        <v>450</v>
      </c>
      <c r="C27" s="15" t="n">
        <f aca="false">SUMIF(B9:B18,A27,G9:G18)</f>
        <v>328</v>
      </c>
      <c r="D27" s="3"/>
      <c r="E27" s="3"/>
      <c r="F27" s="3"/>
      <c r="G27" s="3"/>
      <c r="H27" s="3"/>
      <c r="I27" s="3"/>
      <c r="J27" s="3"/>
      <c r="K27" s="3"/>
      <c r="L27" s="3"/>
    </row>
    <row r="28" customFormat="false" ht="21.75" hidden="false" customHeight="true" outlineLevel="0" collapsed="false">
      <c r="A28" s="36" t="s">
        <v>29</v>
      </c>
      <c r="B28" s="20" t="n">
        <f aca="false">SUMIF(B9:B18,A28,C9:C18)</f>
        <v>2400</v>
      </c>
      <c r="C28" s="21" t="n">
        <f aca="false">SUMIF(B9:B18,A28,G9:G18)</f>
        <v>512</v>
      </c>
      <c r="D28" s="3"/>
      <c r="E28" s="3"/>
      <c r="F28" s="3"/>
      <c r="G28" s="3"/>
      <c r="H28" s="3"/>
      <c r="I28" s="3"/>
      <c r="J28" s="3"/>
      <c r="K28" s="3"/>
      <c r="L28" s="3"/>
    </row>
    <row r="29" customFormat="false" ht="21.75" hidden="false" customHeight="true" outlineLevel="0" collapsed="false">
      <c r="A29" s="37" t="s">
        <v>31</v>
      </c>
      <c r="B29" s="14" t="n">
        <f aca="false">SUMIF(B9:B18,A29,C9:C18)</f>
        <v>5500</v>
      </c>
      <c r="C29" s="15" t="n">
        <f aca="false">SUMIF(B9:B18,A29,G9:G18)</f>
        <v>201</v>
      </c>
      <c r="D29" s="3"/>
      <c r="E29" s="3"/>
      <c r="F29" s="3"/>
      <c r="G29" s="3"/>
      <c r="H29" s="3"/>
      <c r="I29" s="3"/>
      <c r="J29" s="3"/>
      <c r="K29" s="3"/>
      <c r="L29" s="3"/>
    </row>
    <row r="30" customFormat="false" ht="21.75" hidden="false" customHeight="true" outlineLevel="0" collapsed="false">
      <c r="A30" s="38" t="s">
        <v>33</v>
      </c>
      <c r="B30" s="20" t="n">
        <f aca="false">SUMIF(B9:B18,A30,C9:C18)</f>
        <v>2100</v>
      </c>
      <c r="C30" s="21" t="n">
        <f aca="false">SUMIF(B9:B18,A30,G9:G18)</f>
        <v>156</v>
      </c>
      <c r="D30" s="3"/>
      <c r="E30" s="3"/>
      <c r="F30" s="3"/>
      <c r="G30" s="3"/>
      <c r="H30" s="3"/>
      <c r="I30" s="3"/>
      <c r="J30" s="3"/>
      <c r="K30" s="3"/>
      <c r="L30" s="3"/>
    </row>
    <row r="31" customFormat="false" ht="21.75" hidden="false" customHeight="true" outlineLevel="0" collapsed="false">
      <c r="A31" s="39" t="s">
        <v>35</v>
      </c>
      <c r="B31" s="14" t="n">
        <f aca="false">SUMIF(B9:B18,A31,C9:C18)</f>
        <v>3800</v>
      </c>
      <c r="C31" s="15" t="n">
        <f aca="false">SUMIF(B9:B18,A31,G9:G18)</f>
        <v>68</v>
      </c>
      <c r="D31" s="3"/>
      <c r="E31" s="3"/>
      <c r="F31" s="3"/>
      <c r="G31" s="3"/>
      <c r="H31" s="3"/>
      <c r="I31" s="3"/>
      <c r="J31" s="3"/>
      <c r="K31" s="3"/>
      <c r="L31" s="3"/>
    </row>
    <row r="32" customFormat="false" ht="15" hidden="false" customHeight="false" outlineLevel="0" collapsed="false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customFormat="false" ht="15" hidden="false" customHeight="false" outlineLevel="0" collapsed="false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customFormat="false" ht="15" hidden="false" customHeight="false" outlineLevel="0" collapsed="false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customFormat="false" ht="15" hidden="false" customHeight="false" outlineLevel="0" collapsed="false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customFormat="false" ht="15" hidden="false" customHeight="false" outlineLevel="0" collapsed="false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customFormat="false" ht="15" hidden="false" customHeight="fals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customFormat="false" ht="15" hidden="false" customHeight="false" outlineLevel="0" collapsed="false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customFormat="false" ht="15" hidden="false" customHeight="false" outlineLevel="0" collapsed="false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customFormat="false" ht="15" hidden="false" customHeight="false" outlineLevel="0" collapsed="false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</sheetData>
  <mergeCells count="12">
    <mergeCell ref="A1:J1"/>
    <mergeCell ref="A2:J2"/>
    <mergeCell ref="A4:B4"/>
    <mergeCell ref="D4:E4"/>
    <mergeCell ref="G4:H4"/>
    <mergeCell ref="I4:J4"/>
    <mergeCell ref="A5:B5"/>
    <mergeCell ref="D5:E5"/>
    <mergeCell ref="G5:H5"/>
    <mergeCell ref="I5:J5"/>
    <mergeCell ref="A7:J7"/>
    <mergeCell ref="A21:J21"/>
  </mergeCells>
  <conditionalFormatting sqref="J4:J13">
    <cfRule type="colorScale" priority="2">
      <colorScale>
        <cfvo type="min" val="0"/>
        <cfvo type="num" val="3"/>
        <cfvo type="max" val="0"/>
        <color rgb="FFFFC7CE"/>
        <color rgb="FFFFFFFF"/>
        <color rgb="FFC6EFCE"/>
      </colorScale>
    </cfRule>
  </conditionalFormatting>
  <conditionalFormatting sqref="I4:I13">
    <cfRule type="colorScale" priority="3">
      <colorScale>
        <cfvo type="min" val="0"/>
        <cfvo type="percentile" val="50"/>
        <cfvo type="max" val="0"/>
        <color rgb="FFC6EFCE"/>
        <color rgb="FFFFFFFF"/>
        <color rgb="FFFFC7CE"/>
      </colorScale>
    </cfRule>
  </conditionalFormatting>
  <conditionalFormatting sqref="C9:C18">
    <cfRule type="dataBar" priority="4">
      <dataBar showValue="1" minLength="10" maxLength="90">
        <cfvo type="min" val="0"/>
        <cfvo type="max" val="0"/>
        <color rgb="FF7C3AED"/>
      </dataBar>
      <extLst>
        <ext xmlns:x14="http://schemas.microsoft.com/office/spreadsheetml/2009/9/main" uri="{B025F937-C7B1-47D3-B67F-A62EFF666E3E}">
          <x14:id>{1360CC39-2931-40AC-978D-832C8F4D85FF}</x14:id>
        </ext>
      </extLst>
    </cfRule>
  </conditionalFormatting>
  <conditionalFormatting sqref="G9:G18">
    <cfRule type="dataBar" priority="5">
      <dataBar showValue="1" minLength="10" maxLength="90">
        <cfvo type="min" val="0"/>
        <cfvo type="max" val="0"/>
        <color rgb="FFBE185D"/>
      </dataBar>
      <extLst>
        <ext xmlns:x14="http://schemas.microsoft.com/office/spreadsheetml/2009/9/main" uri="{B025F937-C7B1-47D3-B67F-A62EFF666E3E}">
          <x14:id>{C853206E-5541-4CC0-A9DA-F2C160178D9E}</x14:id>
        </ext>
      </extLst>
    </cfRule>
  </conditionalFormatting>
  <conditionalFormatting sqref="F9:F18">
    <cfRule type="colorScale" priority="6">
      <colorScale>
        <cfvo type="min" val="0"/>
        <cfvo type="percentile" val="50"/>
        <cfvo type="max" val="0"/>
        <color rgb="FFFEE2E2"/>
        <color rgb="FFFEF3C7"/>
        <color rgb="FFD1FAE5"/>
      </colorScale>
    </cfRule>
  </conditionalFormatting>
  <conditionalFormatting sqref="H9:H18">
    <cfRule type="colorScale" priority="7">
      <colorScale>
        <cfvo type="min" val="0"/>
        <cfvo type="percentile" val="50"/>
        <cfvo type="max" val="0"/>
        <color rgb="FFFEE2E2"/>
        <color rgb="FFFEF3C7"/>
        <color rgb="FFD1FAE5"/>
      </colorScale>
    </cfRule>
  </conditionalFormatting>
  <conditionalFormatting sqref="I9:I18">
    <cfRule type="colorScale" priority="8">
      <colorScale>
        <cfvo type="min" val="0"/>
        <cfvo type="percentile" val="50"/>
        <cfvo type="max" val="0"/>
        <color rgb="FFD1FAE5"/>
        <color rgb="FFFEF3C7"/>
        <color rgb="FFFEE2E2"/>
      </colorScale>
    </cfRule>
  </conditionalFormatting>
  <conditionalFormatting sqref="J9:J18">
    <cfRule type="colorScale" priority="9">
      <colorScale>
        <cfvo type="min" val="0"/>
        <cfvo type="percentile" val="50"/>
        <cfvo type="max" val="0"/>
        <color rgb="FFFEE2E2"/>
        <color rgb="FFFEF3C7"/>
        <color rgb="FFD1FAE5"/>
      </colorScale>
    </cfRule>
  </conditionalFormatting>
  <conditionalFormatting sqref="B23:B31">
    <cfRule type="dataBar" priority="10">
      <dataBar showValue="1" minLength="10" maxLength="90">
        <cfvo type="min" val="0"/>
        <cfvo type="max" val="0"/>
        <color rgb="FF7C3AED"/>
      </dataBar>
      <extLst>
        <ext xmlns:x14="http://schemas.microsoft.com/office/spreadsheetml/2009/9/main" uri="{B025F937-C7B1-47D3-B67F-A62EFF666E3E}">
          <x14:id>{ABB5E0DC-CDC1-43FD-BBC6-E7273E74F2AE}</x14:id>
        </ext>
      </extLst>
    </cfRule>
  </conditionalFormatting>
  <conditionalFormatting sqref="C23:C31">
    <cfRule type="dataBar" priority="11">
      <dataBar showValue="1" minLength="10" maxLength="90">
        <cfvo type="min" val="0"/>
        <cfvo type="max" val="0"/>
        <color rgb="FFBE185D"/>
      </dataBar>
      <extLst>
        <ext xmlns:x14="http://schemas.microsoft.com/office/spreadsheetml/2009/9/main" uri="{B025F937-C7B1-47D3-B67F-A62EFF666E3E}">
          <x14:id>{5D3D263C-1120-4A58-AEDD-AAA7B2DBD3B3}</x14:id>
        </ext>
      </extLst>
    </cfRule>
  </conditionalFormatting>
  <printOptions headings="false" gridLines="false" gridLinesSet="true" horizontalCentered="tru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360CC39-2931-40AC-978D-832C8F4D85FF}">
            <x14:dataBar minLength="10" maxLength="90" axisPosition="none" gradient="true">
              <x14:cfvo type="min"/>
              <x14:cfvo type="max"/>
              <x14:negativeFillColor rgb="FF7C3AED"/>
              <x14:axisColor rgb="FF000000"/>
            </x14:dataBar>
          </x14:cfRule>
          <xm:sqref>C9:C18</xm:sqref>
        </x14:conditionalFormatting>
        <x14:conditionalFormatting xmlns:xm="http://schemas.microsoft.com/office/excel/2006/main">
          <x14:cfRule type="dataBar" id="{C853206E-5541-4CC0-A9DA-F2C160178D9E}">
            <x14:dataBar minLength="10" maxLength="90" axisPosition="none" gradient="true">
              <x14:cfvo type="min"/>
              <x14:cfvo type="max"/>
              <x14:negativeFillColor rgb="FFBE185D"/>
              <x14:axisColor rgb="FF000000"/>
            </x14:dataBar>
          </x14:cfRule>
          <xm:sqref>G9:G18</xm:sqref>
        </x14:conditionalFormatting>
        <x14:conditionalFormatting xmlns:xm="http://schemas.microsoft.com/office/excel/2006/main">
          <x14:cfRule type="dataBar" id="{ABB5E0DC-CDC1-43FD-BBC6-E7273E74F2AE}">
            <x14:dataBar minLength="10" maxLength="90" axisPosition="none" gradient="true">
              <x14:cfvo type="min"/>
              <x14:cfvo type="max"/>
              <x14:negativeFillColor rgb="FF7C3AED"/>
              <x14:axisColor rgb="FF000000"/>
            </x14:dataBar>
          </x14:cfRule>
          <xm:sqref>B23:B31</xm:sqref>
        </x14:conditionalFormatting>
        <x14:conditionalFormatting xmlns:xm="http://schemas.microsoft.com/office/excel/2006/main">
          <x14:cfRule type="dataBar" id="{5D3D263C-1120-4A58-AEDD-AAA7B2DBD3B3}">
            <x14:dataBar minLength="10" maxLength="90" axisPosition="none" gradient="true">
              <x14:cfvo type="min"/>
              <x14:cfvo type="max"/>
              <x14:negativeFillColor rgb="FFBE185D"/>
              <x14:axisColor rgb="FF000000"/>
            </x14:dataBar>
          </x14:cfRule>
          <xm:sqref>C23:C31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2026-05-10T11:00:22Z</dcterms:created>
  <dc:creator>openpyxl</dc:creator>
  <dc:description/>
  <dc:language>en-US</dc:language>
  <cp:lastModifiedBy/>
  <dcterms:modified xsi:type="dcterms:W3CDTF">2026-05-17T17:12:27Z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