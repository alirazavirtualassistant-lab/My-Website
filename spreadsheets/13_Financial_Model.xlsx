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website\spreadsheets\"/>
    </mc:Choice>
  </mc:AlternateContent>
  <xr:revisionPtr revIDLastSave="0" documentId="13_ncr:1_{28398646-BF78-4DBF-A68D-EA224EA28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om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73" i="1"/>
  <c r="B72" i="1"/>
  <c r="B71" i="1"/>
  <c r="B70" i="1"/>
  <c r="B69" i="1"/>
  <c r="I66" i="1"/>
  <c r="I65" i="1"/>
  <c r="I64" i="1"/>
  <c r="H66" i="1"/>
  <c r="H65" i="1"/>
  <c r="H64" i="1"/>
  <c r="G66" i="1"/>
  <c r="G65" i="1"/>
  <c r="G64" i="1"/>
  <c r="F66" i="1"/>
  <c r="F65" i="1"/>
  <c r="F64" i="1"/>
  <c r="E66" i="1"/>
  <c r="E65" i="1"/>
  <c r="E64" i="1"/>
  <c r="D66" i="1"/>
  <c r="D65" i="1"/>
  <c r="D64" i="1"/>
  <c r="C66" i="1"/>
  <c r="C65" i="1"/>
  <c r="C64" i="1"/>
  <c r="B66" i="1"/>
  <c r="B65" i="1"/>
  <c r="B64" i="1"/>
  <c r="I62" i="1"/>
  <c r="I61" i="1"/>
  <c r="H62" i="1"/>
  <c r="H61" i="1"/>
  <c r="G62" i="1"/>
  <c r="G61" i="1"/>
  <c r="F62" i="1"/>
  <c r="F61" i="1"/>
  <c r="E62" i="1"/>
  <c r="E61" i="1"/>
  <c r="D62" i="1"/>
  <c r="D61" i="1"/>
  <c r="C62" i="1"/>
  <c r="C61" i="1"/>
  <c r="B62" i="1"/>
  <c r="B61" i="1"/>
  <c r="I59" i="1"/>
  <c r="I58" i="1"/>
  <c r="I57" i="1"/>
  <c r="I56" i="1"/>
  <c r="I55" i="1"/>
  <c r="I54" i="1"/>
  <c r="I53" i="1"/>
  <c r="H59" i="1"/>
  <c r="H58" i="1"/>
  <c r="H57" i="1"/>
  <c r="H56" i="1"/>
  <c r="H55" i="1"/>
  <c r="H54" i="1"/>
  <c r="H53" i="1"/>
  <c r="G59" i="1"/>
  <c r="G58" i="1"/>
  <c r="G57" i="1"/>
  <c r="G56" i="1"/>
  <c r="G55" i="1"/>
  <c r="G54" i="1"/>
  <c r="G53" i="1"/>
  <c r="F59" i="1"/>
  <c r="F58" i="1"/>
  <c r="F57" i="1"/>
  <c r="F56" i="1"/>
  <c r="F55" i="1"/>
  <c r="F54" i="1"/>
  <c r="F53" i="1"/>
  <c r="E59" i="1"/>
  <c r="E58" i="1"/>
  <c r="E57" i="1"/>
  <c r="E56" i="1"/>
  <c r="E55" i="1"/>
  <c r="E54" i="1"/>
  <c r="E53" i="1"/>
  <c r="D59" i="1"/>
  <c r="D58" i="1"/>
  <c r="D57" i="1"/>
  <c r="D56" i="1"/>
  <c r="D55" i="1"/>
  <c r="D54" i="1"/>
  <c r="D53" i="1"/>
  <c r="C59" i="1"/>
  <c r="C58" i="1"/>
  <c r="C57" i="1"/>
  <c r="C56" i="1"/>
  <c r="C55" i="1"/>
  <c r="C54" i="1"/>
  <c r="C53" i="1"/>
  <c r="B59" i="1"/>
  <c r="B58" i="1"/>
  <c r="B57" i="1"/>
  <c r="B56" i="1"/>
  <c r="B55" i="1"/>
  <c r="B54" i="1"/>
  <c r="B53" i="1"/>
  <c r="D5" i="1"/>
  <c r="I43" i="1"/>
  <c r="H43" i="1"/>
  <c r="G43" i="1"/>
  <c r="F43" i="1"/>
  <c r="E43" i="1"/>
  <c r="D43" i="1"/>
  <c r="C43" i="1"/>
  <c r="I40" i="1"/>
  <c r="H40" i="1"/>
  <c r="G40" i="1"/>
  <c r="F40" i="1"/>
  <c r="E40" i="1"/>
  <c r="D40" i="1"/>
  <c r="C40" i="1"/>
  <c r="I39" i="1"/>
  <c r="H39" i="1"/>
  <c r="G39" i="1"/>
  <c r="F39" i="1"/>
  <c r="E39" i="1"/>
  <c r="D39" i="1"/>
  <c r="C39" i="1"/>
  <c r="I38" i="1"/>
  <c r="H38" i="1"/>
  <c r="G38" i="1"/>
  <c r="F38" i="1"/>
  <c r="E38" i="1"/>
  <c r="D38" i="1"/>
  <c r="C38" i="1"/>
  <c r="I37" i="1"/>
  <c r="H37" i="1"/>
  <c r="H41" i="1" s="1"/>
  <c r="H42" i="1" s="1"/>
  <c r="G37" i="1"/>
  <c r="G41" i="1" s="1"/>
  <c r="G42" i="1" s="1"/>
  <c r="F37" i="1"/>
  <c r="F41" i="1" s="1"/>
  <c r="F42" i="1" s="1"/>
  <c r="E37" i="1"/>
  <c r="E41" i="1" s="1"/>
  <c r="E42" i="1" s="1"/>
  <c r="D37" i="1"/>
  <c r="D41" i="1" s="1"/>
  <c r="D42" i="1" s="1"/>
  <c r="C37" i="1"/>
  <c r="C41" i="1" s="1"/>
  <c r="C42" i="1" s="1"/>
  <c r="I36" i="1"/>
  <c r="I41" i="1" s="1"/>
  <c r="I42" i="1" s="1"/>
  <c r="H36" i="1"/>
  <c r="G36" i="1"/>
  <c r="F36" i="1"/>
  <c r="E36" i="1"/>
  <c r="D36" i="1"/>
  <c r="C36" i="1"/>
  <c r="B43" i="1"/>
  <c r="B41" i="1"/>
  <c r="B42" i="1" s="1"/>
  <c r="B40" i="1"/>
  <c r="B39" i="1"/>
  <c r="B38" i="1"/>
  <c r="B37" i="1"/>
  <c r="B36" i="1"/>
  <c r="I31" i="1"/>
  <c r="H31" i="1"/>
  <c r="G31" i="1"/>
  <c r="F31" i="1"/>
  <c r="E31" i="1"/>
  <c r="D31" i="1"/>
  <c r="I33" i="1"/>
  <c r="H33" i="1"/>
  <c r="G33" i="1"/>
  <c r="F33" i="1"/>
  <c r="E33" i="1"/>
  <c r="D33" i="1"/>
  <c r="J5" i="1" s="1"/>
  <c r="C33" i="1"/>
  <c r="C31" i="1"/>
  <c r="B33" i="1"/>
  <c r="I30" i="1"/>
  <c r="H30" i="1"/>
  <c r="G30" i="1"/>
  <c r="F30" i="1"/>
  <c r="E30" i="1"/>
  <c r="D30" i="1"/>
  <c r="I29" i="1"/>
  <c r="H29" i="1"/>
  <c r="G29" i="1"/>
  <c r="F29" i="1"/>
  <c r="E29" i="1"/>
  <c r="D29" i="1"/>
  <c r="I28" i="1"/>
  <c r="H28" i="1"/>
  <c r="G28" i="1"/>
  <c r="F28" i="1"/>
  <c r="E28" i="1"/>
  <c r="D28" i="1"/>
  <c r="C30" i="1"/>
  <c r="C29" i="1"/>
  <c r="C28" i="1"/>
  <c r="B30" i="1"/>
  <c r="B29" i="1"/>
  <c r="B28" i="1"/>
  <c r="D24" i="1"/>
  <c r="E24" i="1" s="1"/>
  <c r="F24" i="1" s="1"/>
  <c r="G24" i="1" s="1"/>
  <c r="H24" i="1" s="1"/>
  <c r="I24" i="1" s="1"/>
  <c r="D23" i="1"/>
  <c r="E23" i="1" s="1"/>
  <c r="F23" i="1" s="1"/>
  <c r="G23" i="1" s="1"/>
  <c r="H23" i="1" s="1"/>
  <c r="I23" i="1" s="1"/>
  <c r="D22" i="1"/>
  <c r="E22" i="1" s="1"/>
  <c r="F22" i="1" s="1"/>
  <c r="G22" i="1" s="1"/>
  <c r="H22" i="1" s="1"/>
  <c r="I22" i="1" s="1"/>
  <c r="D21" i="1"/>
  <c r="E21" i="1" s="1"/>
  <c r="F21" i="1" s="1"/>
  <c r="G21" i="1" s="1"/>
  <c r="H21" i="1" s="1"/>
  <c r="I21" i="1" s="1"/>
  <c r="I20" i="1"/>
  <c r="H20" i="1"/>
  <c r="G20" i="1"/>
  <c r="F20" i="1"/>
  <c r="E20" i="1"/>
  <c r="D20" i="1"/>
  <c r="I19" i="1"/>
  <c r="H19" i="1"/>
  <c r="G19" i="1"/>
  <c r="F19" i="1"/>
  <c r="E19" i="1"/>
  <c r="D19" i="1"/>
  <c r="C24" i="1"/>
  <c r="C23" i="1"/>
  <c r="C22" i="1"/>
  <c r="C21" i="1"/>
  <c r="C20" i="1"/>
  <c r="C19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D13" i="1"/>
  <c r="E13" i="1" s="1"/>
  <c r="F13" i="1" s="1"/>
  <c r="G13" i="1" s="1"/>
  <c r="H13" i="1" s="1"/>
  <c r="I13" i="1" s="1"/>
  <c r="D12" i="1"/>
  <c r="E12" i="1" s="1"/>
  <c r="F12" i="1" s="1"/>
  <c r="G12" i="1" s="1"/>
  <c r="H12" i="1" s="1"/>
  <c r="I12" i="1" s="1"/>
  <c r="D11" i="1"/>
  <c r="E11" i="1" s="1"/>
  <c r="F11" i="1" s="1"/>
  <c r="G11" i="1" s="1"/>
  <c r="H11" i="1" s="1"/>
  <c r="I11" i="1" s="1"/>
  <c r="D10" i="1"/>
  <c r="E10" i="1" s="1"/>
  <c r="F10" i="1" s="1"/>
  <c r="G10" i="1" s="1"/>
  <c r="H10" i="1" s="1"/>
  <c r="I10" i="1" s="1"/>
  <c r="D9" i="1"/>
  <c r="E9" i="1" s="1"/>
  <c r="F9" i="1" s="1"/>
  <c r="G9" i="1" s="1"/>
  <c r="H9" i="1" s="1"/>
  <c r="I9" i="1" s="1"/>
  <c r="D8" i="1"/>
  <c r="E8" i="1" s="1"/>
  <c r="F8" i="1" s="1"/>
  <c r="G8" i="1" s="1"/>
  <c r="H8" i="1" s="1"/>
  <c r="I8" i="1" s="1"/>
  <c r="C16" i="1"/>
  <c r="C15" i="1"/>
  <c r="C14" i="1"/>
  <c r="C13" i="1"/>
  <c r="C12" i="1"/>
  <c r="C11" i="1"/>
  <c r="C10" i="1"/>
  <c r="C9" i="1"/>
  <c r="C8" i="1"/>
  <c r="F5" i="1"/>
  <c r="B5" i="1"/>
  <c r="I48" i="1" l="1"/>
  <c r="I44" i="1"/>
  <c r="C44" i="1"/>
  <c r="C48" i="1"/>
  <c r="D48" i="1"/>
  <c r="D44" i="1"/>
  <c r="E48" i="1"/>
  <c r="E44" i="1"/>
  <c r="B44" i="1"/>
  <c r="B48" i="1"/>
  <c r="F44" i="1"/>
  <c r="F48" i="1"/>
  <c r="G44" i="1"/>
  <c r="G48" i="1"/>
  <c r="H44" i="1"/>
  <c r="H48" i="1"/>
  <c r="F45" i="1" l="1"/>
  <c r="F46" i="1"/>
  <c r="F47" i="1" s="1"/>
  <c r="B45" i="1"/>
  <c r="E45" i="1"/>
  <c r="E46" i="1" s="1"/>
  <c r="E47" i="1" s="1"/>
  <c r="D45" i="1"/>
  <c r="D46" i="1"/>
  <c r="D47" i="1" s="1"/>
  <c r="H46" i="1"/>
  <c r="H47" i="1" s="1"/>
  <c r="H45" i="1"/>
  <c r="C45" i="1"/>
  <c r="C46" i="1" s="1"/>
  <c r="C47" i="1" s="1"/>
  <c r="I45" i="1"/>
  <c r="I46" i="1" s="1"/>
  <c r="I47" i="1" s="1"/>
  <c r="G45" i="1"/>
  <c r="G46" i="1"/>
  <c r="G47" i="1" s="1"/>
  <c r="B46" i="1" l="1"/>
  <c r="B47" i="1" s="1"/>
  <c r="H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Raza</author>
  </authors>
  <commentList>
    <comment ref="B8" authorId="0" shapeId="0" xr:uid="{31CB8D49-9DD9-499C-8383-110C8D54E35F}">
      <text>
        <r>
          <rPr>
            <b/>
            <sz val="9"/>
            <color indexed="81"/>
            <rFont val="Tahoma"/>
            <charset val="1"/>
          </rPr>
          <t>Ali Raza:</t>
        </r>
        <r>
          <rPr>
            <sz val="9"/>
            <color indexed="81"/>
            <rFont val="Tahoma"/>
            <charset val="1"/>
          </rPr>
          <t xml:space="preserve">
Source: Ali Raza Fiverr stats, May 2026 — current monthly order volume</t>
        </r>
      </text>
    </comment>
    <comment ref="B14" authorId="0" shapeId="0" xr:uid="{4933E60A-5E51-4A9A-BADF-BB5AAE44DB12}">
      <text>
        <r>
          <rPr>
            <b/>
            <sz val="9"/>
            <color indexed="81"/>
            <rFont val="Tahoma"/>
            <charset val="1"/>
          </rPr>
          <t>Ali Raza:</t>
        </r>
        <r>
          <rPr>
            <sz val="9"/>
            <color indexed="81"/>
            <rFont val="Tahoma"/>
            <charset val="1"/>
          </rPr>
          <t xml:space="preserve">
Assumption: 20% YoY order growth based on 2024-2025 trend</t>
        </r>
      </text>
    </comment>
  </commentList>
</comments>
</file>

<file path=xl/sharedStrings.xml><?xml version="1.0" encoding="utf-8"?>
<sst xmlns="http://schemas.openxmlformats.org/spreadsheetml/2006/main" count="91" uniqueCount="80">
  <si>
    <t>ASSUMPTIONS</t>
  </si>
  <si>
    <t>INCOME STATEMENT</t>
  </si>
  <si>
    <t>Revenue</t>
  </si>
  <si>
    <t>Operating costs</t>
  </si>
  <si>
    <t>Net income</t>
  </si>
  <si>
    <t>Net margin</t>
  </si>
  <si>
    <t>FREELANCE BUSINESS  |  8-YEAR FINANCIAL DASHBOARD</t>
  </si>
  <si>
    <t>KEY METRICS</t>
  </si>
  <si>
    <t>8-YEAR REVENUE</t>
  </si>
  <si>
    <t>8-YEAR NET INCOME</t>
  </si>
  <si>
    <t>REVENUE CAGR</t>
  </si>
  <si>
    <t>AVG NET MARGIN</t>
  </si>
  <si>
    <t>PEAK YEAR REV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</si>
  <si>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</si>
  <si>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</si>
  <si>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</si>
  <si>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</si>
  <si>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</si>
  <si>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</si>
  <si>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</si>
  <si>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</si>
  <si>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DRIVER</t>
  </si>
  <si>
    <t xml:space="preserve">   Volume — Fiverr orders / month</t>
  </si>
  <si>
    <t xml:space="preserve">   Volume — Upwork projects / month</t>
  </si>
  <si>
    <t xml:space="preserve">   Volume — Direct clients / month</t>
  </si>
  <si>
    <t xml:space="preserve">   Avg order value — Fiverr</t>
  </si>
  <si>
    <t xml:space="preserve">   Avg order value — Upwork</t>
  </si>
  <si>
    <t xml:space="preserve">   Avg order value — Direct</t>
  </si>
  <si>
    <t xml:space="preserve">   Volume growth (YoY)</t>
  </si>
  <si>
    <t xml:space="preserve">   Price growth (YoY)</t>
  </si>
  <si>
    <t xml:space="preserve">   Tax rate</t>
  </si>
  <si>
    <t>orders/mo</t>
  </si>
  <si>
    <t>projects/mo</t>
  </si>
  <si>
    <t>clients/mo</t>
  </si>
  <si>
    <t>$ per order</t>
  </si>
  <si>
    <t>$ per project</t>
  </si>
  <si>
    <t>$ per engagement</t>
  </si>
  <si>
    <t>% YoY</t>
  </si>
  <si>
    <t>% of pre-tax</t>
  </si>
  <si>
    <t>COST STRUCTURE</t>
  </si>
  <si>
    <t xml:space="preserve">   Platform fees (% of revenue)</t>
  </si>
  <si>
    <t xml:space="preserve">   Marketing &amp; ads (% of revenue)</t>
  </si>
  <si>
    <t xml:space="preserve">   Software &amp; tools (fixed $)</t>
  </si>
  <si>
    <t xml:space="preserve">   Contractor / VA costs (fixed $)</t>
  </si>
  <si>
    <t xml:space="preserve">   Office &amp; overhead (fixed $)</t>
  </si>
  <si>
    <t xml:space="preserve">   D&amp;A (fixed $)</t>
  </si>
  <si>
    <t>% of revenue</t>
  </si>
  <si>
    <t>annual $</t>
  </si>
  <si>
    <t xml:space="preserve">   Fiverr revenue</t>
  </si>
  <si>
    <t xml:space="preserve">   Upwork revenue</t>
  </si>
  <si>
    <t xml:space="preserve">   Direct client revenue</t>
  </si>
  <si>
    <t xml:space="preserve">   YoY growth</t>
  </si>
  <si>
    <t>Total revenue</t>
  </si>
  <si>
    <t xml:space="preserve">   Platform fees</t>
  </si>
  <si>
    <t xml:space="preserve">   Marketing &amp; ads</t>
  </si>
  <si>
    <t xml:space="preserve">   Software &amp; tools</t>
  </si>
  <si>
    <t xml:space="preserve">   Contractor / VA costs</t>
  </si>
  <si>
    <t xml:space="preserve">   Office &amp; overhead</t>
  </si>
  <si>
    <t>Total operating costs</t>
  </si>
  <si>
    <t>EBITDA</t>
  </si>
  <si>
    <t xml:space="preserve">   D&amp;A</t>
  </si>
  <si>
    <t>EBIT (Operating income)</t>
  </si>
  <si>
    <t xml:space="preserve">   Tax</t>
  </si>
  <si>
    <t xml:space="preserve">   Net margin</t>
  </si>
  <si>
    <t xml:space="preserve">   EBITDA margin</t>
  </si>
  <si>
    <t>Source: Internal model  •  Color key: Blue text = hardcoded input  •  Yellow fill = key assumption  •  Black text = formula</t>
  </si>
  <si>
    <t>Chart data (do not edit)</t>
  </si>
  <si>
    <t>Year</t>
  </si>
  <si>
    <t>Fiverr</t>
  </si>
  <si>
    <t>Upwork</t>
  </si>
  <si>
    <t>Direct</t>
  </si>
  <si>
    <t>EBITDA margin</t>
  </si>
  <si>
    <t>Cost category (FY2033)</t>
  </si>
  <si>
    <t>Platform fees</t>
  </si>
  <si>
    <t>Marketing &amp; ads</t>
  </si>
  <si>
    <t>Software &amp; tools</t>
  </si>
  <si>
    <t>Contractor / VA</t>
  </si>
  <si>
    <t>Office &amp; overhead</t>
  </si>
  <si>
    <t>D&amp;A</t>
  </si>
  <si>
    <t>Multi-channel revenue model  •  FY2026 – FY2033  •  All figures in USD (Dummy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</si>
</sst>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%"/>
    <numFmt numFmtId="170" formatCode="\+0.0%;\-0.0%"/>
    <numFmt numFmtId="172" formatCode="[$$-409]#,##0"/>
    <numFmt numFmtId="173" formatCode="[$$-409]#,##0;[Red]\([$$-409]#,##0\)"/>
  </numFmts>
  <fonts count="2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20"/>
      <color rgb="FFFFFFFF"/>
      <name val="Calibri"/>
      <scheme val="minor"/>
    </font>
    <font>
      <i/>
      <sz val="10"/>
      <color rgb="FFC5D1E3"/>
      <name val="Calibri"/>
      <scheme val="minor"/>
    </font>
    <font>
      <b/>
      <sz val="11"/>
      <color rgb="FF0B1F3A"/>
      <name val="Calibri"/>
      <scheme val="minor"/>
    </font>
    <font>
      <b/>
      <sz val="9"/>
      <color rgb="FFFFFFFF"/>
      <name val="Calibri"/>
      <scheme val="minor"/>
    </font>
    <font>
      <b/>
      <sz val="16"/>
      <color rgb="FF1F4E79"/>
      <name val="Calibri"/>
      <scheme val="minor"/>
    </font>
    <font>
      <b/>
      <sz val="16"/>
      <color rgb="FF2E7D5B"/>
      <name val="Calibri"/>
      <scheme val="minor"/>
    </font>
    <font>
      <b/>
      <sz val="16"/>
      <color rgb="FF8B5A2B"/>
      <name val="Calibri"/>
      <scheme val="minor"/>
    </font>
    <font>
      <b/>
      <sz val="16"/>
      <color rgb="FF5D3F8F"/>
      <name val="Calibri"/>
      <scheme val="minor"/>
    </font>
    <font>
      <sz val="11"/>
      <color rgb="FFB8003A"/>
      <name val="Calibri"/>
      <family val="2"/>
      <scheme val="minor"/>
    </font>
    <font>
      <b/>
      <sz val="16"/>
      <color rgb="FFB8003A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rgb="FFFFFFFF"/>
      <name val="Calibri"/>
      <family val="2"/>
      <scheme val="minor"/>
    </font>
    <font>
      <b/>
      <sz val="14"/>
      <color rgb="FF0B1F3A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0B1F3A"/>
      <name val="Calibri"/>
      <family val="2"/>
      <scheme val="minor"/>
    </font>
    <font>
      <i/>
      <sz val="10"/>
      <color rgb="FF2E7D5B"/>
      <name val="Calibri"/>
      <family val="2"/>
      <scheme val="minor"/>
    </font>
    <font>
      <b/>
      <sz val="11"/>
      <color rgb="FF8B3A3A"/>
      <name val="Calibri"/>
      <family val="2"/>
      <scheme val="minor"/>
    </font>
    <font>
      <i/>
      <sz val="9"/>
      <color rgb="FF888888"/>
      <name val="Calibri"/>
      <family val="2"/>
      <scheme val="minor"/>
    </font>
    <font>
      <sz val="9"/>
      <color rgb="FFAAAAAA"/>
      <name val="Calibri"/>
      <family val="2"/>
      <scheme val="minor"/>
    </font>
    <font>
      <i/>
      <sz val="9"/>
      <color rgb="FFAAAAAA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D5B"/>
        <bgColor indexed="64"/>
      </patternFill>
    </fill>
    <fill>
      <patternFill patternType="solid">
        <fgColor rgb="FF8B5A2B"/>
        <bgColor indexed="64"/>
      </patternFill>
    </fill>
    <fill>
      <patternFill patternType="solid">
        <fgColor rgb="FF5D3F8F"/>
        <bgColor indexed="64"/>
      </patternFill>
    </fill>
    <fill>
      <patternFill patternType="solid">
        <fgColor rgb="FFB8003A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E8F3EE"/>
        <bgColor indexed="64"/>
      </patternFill>
    </fill>
    <fill>
      <patternFill patternType="solid">
        <fgColor rgb="FFF5EFE6"/>
        <bgColor indexed="64"/>
      </patternFill>
    </fill>
    <fill>
      <patternFill patternType="solid">
        <fgColor rgb="FFF1ECF6"/>
        <bgColor indexed="64"/>
      </patternFill>
    </fill>
    <fill>
      <patternFill patternType="solid">
        <fgColor rgb="FFFBEAEF"/>
        <bgColor indexed="64"/>
      </patternFill>
    </fill>
    <fill>
      <patternFill patternType="solid">
        <fgColor rgb="FFFFF7C2"/>
        <bgColor indexed="64"/>
      </patternFill>
    </fill>
    <fill>
      <patternFill patternType="solid">
        <fgColor rgb="FF8B3A3A"/>
        <bgColor indexed="64"/>
      </patternFill>
    </fill>
    <fill>
      <patternFill patternType="solid">
        <fgColor rgb="FFFBEAEA"/>
        <bgColor indexed="64"/>
      </patternFill>
    </fill>
    <fill>
      <patternFill patternType="solid">
        <fgColor rgb="FFF7F9F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/>
    <xf numFmtId="0" fontId="0" fillId="3" borderId="0" xfId="0" applyFill="1"/>
    <xf numFmtId="0" fontId="5" fillId="7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5" fontId="8" fillId="10" borderId="0" xfId="0" applyNumberFormat="1" applyFont="1" applyFill="1" applyAlignment="1">
      <alignment horizontal="center"/>
    </xf>
    <xf numFmtId="165" fontId="9" fillId="11" borderId="0" xfId="0" applyNumberFormat="1" applyFont="1" applyFill="1" applyAlignment="1">
      <alignment horizontal="center"/>
    </xf>
    <xf numFmtId="0" fontId="15" fillId="0" borderId="0" xfId="0" applyFont="1"/>
    <xf numFmtId="3" fontId="16" fillId="13" borderId="0" xfId="0" applyNumberFormat="1" applyFont="1" applyFill="1" applyAlignment="1">
      <alignment horizontal="center"/>
    </xf>
    <xf numFmtId="165" fontId="16" fillId="13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9" fillId="2" borderId="0" xfId="0" applyFont="1" applyFill="1"/>
    <xf numFmtId="0" fontId="0" fillId="2" borderId="0" xfId="0" applyFill="1"/>
    <xf numFmtId="165" fontId="0" fillId="0" borderId="0" xfId="0" applyNumberFormat="1" applyAlignment="1">
      <alignment horizontal="center"/>
    </xf>
    <xf numFmtId="0" fontId="20" fillId="0" borderId="0" xfId="0" applyFont="1"/>
    <xf numFmtId="0" fontId="13" fillId="3" borderId="0" xfId="0" applyFont="1" applyFill="1"/>
    <xf numFmtId="0" fontId="0" fillId="0" borderId="0" xfId="0" applyFont="1"/>
    <xf numFmtId="0" fontId="21" fillId="0" borderId="0" xfId="0" applyFont="1"/>
    <xf numFmtId="165" fontId="0" fillId="0" borderId="0" xfId="0" applyNumberFormat="1" applyAlignment="1">
      <alignment horizontal="right"/>
    </xf>
    <xf numFmtId="170" fontId="23" fillId="0" borderId="0" xfId="0" applyNumberFormat="1" applyFont="1" applyAlignment="1">
      <alignment horizontal="right"/>
    </xf>
    <xf numFmtId="0" fontId="13" fillId="14" borderId="0" xfId="0" applyFont="1" applyFill="1"/>
    <xf numFmtId="0" fontId="0" fillId="14" borderId="0" xfId="0" applyFill="1"/>
    <xf numFmtId="165" fontId="23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0" fontId="25" fillId="0" borderId="0" xfId="0" applyFont="1"/>
    <xf numFmtId="0" fontId="12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2" fillId="8" borderId="3" xfId="0" applyFont="1" applyFill="1" applyBorder="1"/>
    <xf numFmtId="0" fontId="24" fillId="15" borderId="2" xfId="0" applyFont="1" applyFill="1" applyBorder="1"/>
    <xf numFmtId="0" fontId="13" fillId="4" borderId="3" xfId="0" applyFont="1" applyFill="1" applyBorder="1"/>
    <xf numFmtId="0" fontId="19" fillId="4" borderId="3" xfId="0" applyFont="1" applyFill="1" applyBorder="1"/>
    <xf numFmtId="0" fontId="15" fillId="16" borderId="0" xfId="0" applyFont="1" applyFill="1"/>
    <xf numFmtId="3" fontId="16" fillId="16" borderId="0" xfId="0" applyNumberFormat="1" applyFont="1" applyFill="1" applyAlignment="1">
      <alignment horizontal="center"/>
    </xf>
    <xf numFmtId="3" fontId="15" fillId="16" borderId="0" xfId="0" applyNumberFormat="1" applyFont="1" applyFill="1" applyAlignment="1">
      <alignment horizontal="center"/>
    </xf>
    <xf numFmtId="165" fontId="16" fillId="16" borderId="0" xfId="0" applyNumberFormat="1" applyFont="1" applyFill="1" applyAlignment="1">
      <alignment horizontal="center"/>
    </xf>
    <xf numFmtId="165" fontId="15" fillId="16" borderId="0" xfId="0" applyNumberFormat="1" applyFont="1" applyFill="1" applyAlignment="1">
      <alignment horizontal="center"/>
    </xf>
    <xf numFmtId="165" fontId="0" fillId="16" borderId="0" xfId="0" applyNumberFormat="1" applyFill="1" applyAlignment="1">
      <alignment horizontal="center"/>
    </xf>
    <xf numFmtId="0" fontId="0" fillId="16" borderId="0" xfId="0" applyFont="1" applyFill="1"/>
    <xf numFmtId="0" fontId="26" fillId="0" borderId="0" xfId="0" applyFont="1"/>
    <xf numFmtId="0" fontId="27" fillId="0" borderId="0" xfId="0" applyFont="1"/>
    <xf numFmtId="165" fontId="26" fillId="0" borderId="0" xfId="0" applyNumberFormat="1" applyFont="1"/>
    <xf numFmtId="172" fontId="6" fillId="8" borderId="0" xfId="0" applyNumberFormat="1" applyFont="1" applyFill="1" applyAlignment="1">
      <alignment horizontal="center"/>
    </xf>
    <xf numFmtId="172" fontId="7" fillId="9" borderId="0" xfId="0" applyNumberFormat="1" applyFont="1" applyFill="1" applyAlignment="1">
      <alignment horizontal="center"/>
    </xf>
    <xf numFmtId="172" fontId="11" fillId="12" borderId="0" xfId="0" applyNumberFormat="1" applyFont="1" applyFill="1" applyAlignment="1">
      <alignment horizontal="center"/>
    </xf>
    <xf numFmtId="172" fontId="16" fillId="16" borderId="0" xfId="0" applyNumberFormat="1" applyFont="1" applyFill="1" applyAlignment="1">
      <alignment horizontal="center"/>
    </xf>
    <xf numFmtId="172" fontId="15" fillId="16" borderId="0" xfId="0" applyNumberFormat="1" applyFont="1" applyFill="1" applyAlignment="1">
      <alignment horizontal="center"/>
    </xf>
    <xf numFmtId="172" fontId="16" fillId="13" borderId="0" xfId="0" applyNumberFormat="1" applyFont="1" applyFill="1" applyAlignment="1">
      <alignment horizontal="center"/>
    </xf>
    <xf numFmtId="172" fontId="15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72" fontId="0" fillId="16" borderId="0" xfId="0" applyNumberFormat="1" applyFill="1" applyAlignment="1">
      <alignment horizontal="center"/>
    </xf>
    <xf numFmtId="172" fontId="0" fillId="0" borderId="0" xfId="0" applyNumberFormat="1" applyAlignment="1">
      <alignment horizontal="right"/>
    </xf>
    <xf numFmtId="172" fontId="0" fillId="16" borderId="0" xfId="0" applyNumberFormat="1" applyFill="1" applyAlignment="1">
      <alignment horizontal="right"/>
    </xf>
    <xf numFmtId="172" fontId="22" fillId="8" borderId="3" xfId="0" applyNumberFormat="1" applyFont="1" applyFill="1" applyBorder="1" applyAlignment="1">
      <alignment horizontal="right"/>
    </xf>
    <xf numFmtId="172" fontId="13" fillId="4" borderId="3" xfId="0" applyNumberFormat="1" applyFont="1" applyFill="1" applyBorder="1" applyAlignment="1">
      <alignment horizontal="right"/>
    </xf>
    <xf numFmtId="172" fontId="19" fillId="4" borderId="3" xfId="0" applyNumberFormat="1" applyFont="1" applyFill="1" applyBorder="1" applyAlignment="1">
      <alignment horizontal="right"/>
    </xf>
    <xf numFmtId="172" fontId="26" fillId="0" borderId="0" xfId="0" applyNumberFormat="1" applyFont="1"/>
    <xf numFmtId="173" fontId="10" fillId="0" borderId="0" xfId="0" applyNumberFormat="1" applyFont="1" applyAlignment="1">
      <alignment horizontal="right"/>
    </xf>
    <xf numFmtId="173" fontId="10" fillId="16" borderId="0" xfId="0" applyNumberFormat="1" applyFont="1" applyFill="1" applyAlignment="1">
      <alignment horizontal="right"/>
    </xf>
    <xf numFmtId="173" fontId="24" fillId="1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Channel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Statement'!$A$54</c:f>
              <c:strCache>
                <c:ptCount val="1"/>
                <c:pt idx="0">
                  <c:v>Fiverr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'Income Statement'!$B$53:$I$53</c:f>
              <c:strCache>
                <c:ptCount val="8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  <c:pt idx="7">
                  <c:v>FY2033</c:v>
                </c:pt>
              </c:strCache>
            </c:strRef>
          </c:cat>
          <c:val>
            <c:numRef>
              <c:f>'Income Statement'!$B$54:$I$54</c:f>
              <c:numCache>
                <c:formatCode>[$$-409]#,##0</c:formatCode>
                <c:ptCount val="8"/>
                <c:pt idx="0">
                  <c:v>35700</c:v>
                </c:pt>
                <c:pt idx="1">
                  <c:v>44982</c:v>
                </c:pt>
                <c:pt idx="2">
                  <c:v>56677.320000000007</c:v>
                </c:pt>
                <c:pt idx="3">
                  <c:v>71413.42319999999</c:v>
                </c:pt>
                <c:pt idx="4">
                  <c:v>89980.913232000006</c:v>
                </c:pt>
                <c:pt idx="5">
                  <c:v>113375.95067232002</c:v>
                </c:pt>
                <c:pt idx="6">
                  <c:v>142853.69784712323</c:v>
                </c:pt>
                <c:pt idx="7">
                  <c:v>179995.65928737528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F-4448-9465-B52E4411F6FB}"/>
            </c:ext>
          </c:extLst>
        </c:ser>
        <c:ser>
          <c:idx val="1"/>
          <c:order val="1"/>
          <c:tx>
            <c:strRef>
              <c:f>'Income Statement'!$A$55</c:f>
              <c:strCache>
                <c:ptCount val="1"/>
                <c:pt idx="0">
                  <c:v>Upwork</c:v>
                </c:pt>
              </c:strCache>
            </c:strRef>
          </c:tx>
          <c:spPr>
            <a:solidFill>
              <a:srgbClr val="2E7D5B"/>
            </a:solidFill>
            <a:ln>
              <a:noFill/>
            </a:ln>
            <a:effectLst/>
          </c:spPr>
          <c:invertIfNegative val="0"/>
          <c:cat>
            <c:strRef>
              <c:f>'Income Statement'!$B$53:$I$53</c:f>
              <c:strCache>
                <c:ptCount val="8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  <c:pt idx="7">
                  <c:v>FY2033</c:v>
                </c:pt>
              </c:strCache>
            </c:strRef>
          </c:cat>
          <c:val>
            <c:numRef>
              <c:f>'Income Statement'!$B$55:$I$55</c:f>
              <c:numCache>
                <c:formatCode>[$$-409]#,##0</c:formatCode>
                <c:ptCount val="8"/>
                <c:pt idx="0">
                  <c:v>30720</c:v>
                </c:pt>
                <c:pt idx="1">
                  <c:v>38707.199999999997</c:v>
                </c:pt>
                <c:pt idx="2">
                  <c:v>48771.072</c:v>
                </c:pt>
                <c:pt idx="3">
                  <c:v>61451.550720000014</c:v>
                </c:pt>
                <c:pt idx="4">
                  <c:v>77428.953907200004</c:v>
                </c:pt>
                <c:pt idx="5">
                  <c:v>97560.481923072002</c:v>
                </c:pt>
                <c:pt idx="6">
                  <c:v>122926.20722307076</c:v>
                </c:pt>
                <c:pt idx="7">
                  <c:v>154887.02110106914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F-4448-9465-B52E4411F6FB}"/>
            </c:ext>
          </c:extLst>
        </c:ser>
        <c:ser>
          <c:idx val="2"/>
          <c:order val="2"/>
          <c:tx>
            <c:strRef>
              <c:f>'Income Statement'!$A$56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B8003A"/>
            </a:solidFill>
            <a:ln>
              <a:noFill/>
            </a:ln>
            <a:effectLst/>
          </c:spPr>
          <c:invertIfNegative val="0"/>
          <c:cat>
            <c:strRef>
              <c:f>'Income Statement'!$B$53:$I$53</c:f>
              <c:strCache>
                <c:ptCount val="8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  <c:pt idx="7">
                  <c:v>FY2033</c:v>
                </c:pt>
              </c:strCache>
            </c:strRef>
          </c:cat>
          <c:val>
            <c:numRef>
              <c:f>'Income Statement'!$B$56:$I$56</c:f>
              <c:numCache>
                <c:formatCode>[$$-409]#,##0</c:formatCode>
                <c:ptCount val="8"/>
                <c:pt idx="0">
                  <c:v>54000</c:v>
                </c:pt>
                <c:pt idx="1">
                  <c:v>68039.999999999985</c:v>
                </c:pt>
                <c:pt idx="2">
                  <c:v>85730.4</c:v>
                </c:pt>
                <c:pt idx="3">
                  <c:v>108020.30399999999</c:v>
                </c:pt>
                <c:pt idx="4">
                  <c:v>136105.58303999997</c:v>
                </c:pt>
                <c:pt idx="5">
                  <c:v>171493.03463039995</c:v>
                </c:pt>
                <c:pt idx="6">
                  <c:v>216081.22363430398</c:v>
                </c:pt>
                <c:pt idx="7">
                  <c:v>272262.341779223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F-4448-9465-B52E4411F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5376895"/>
        <c:axId val="1415368255"/>
      </c:barChart>
      <c:catAx>
        <c:axId val="14153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5368255"/>
        <c:crosses val="autoZero"/>
        <c:auto val="1"/>
        <c:lblAlgn val="ctr"/>
        <c:lblOffset val="100"/>
        <c:noMultiLvlLbl val="0"/>
      </c:catAx>
      <c:valAx>
        <c:axId val="14153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53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Trend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Statement'!$A$62</c:f>
              <c:strCache>
                <c:ptCount val="1"/>
                <c:pt idx="0">
                  <c:v>Net income</c:v>
                </c:pt>
              </c:strCache>
            </c:strRef>
          </c:tx>
          <c:spPr>
            <a:ln w="38100" cap="rnd">
              <a:solidFill>
                <a:srgbClr val="2E7D5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'Income Statement'!$B$61:$I$61</c:f>
              <c:strCache>
                <c:ptCount val="8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  <c:pt idx="7">
                  <c:v>FY2033</c:v>
                </c:pt>
              </c:strCache>
            </c:strRef>
          </c:cat>
          <c:val>
            <c:numRef>
              <c:f>'Income Statement'!$B$62:$I$62</c:f>
              <c:numCache>
                <c:formatCode>[$$-409]#,##0</c:formatCode>
                <c:ptCount val="8"/>
                <c:pt idx="0">
                  <c:v>72723.45</c:v>
                </c:pt>
                <c:pt idx="1">
                  <c:v>94773.146999999983</c:v>
                </c:pt>
                <c:pt idx="2">
                  <c:v>122681.42922000001</c:v>
                </c:pt>
                <c:pt idx="3">
                  <c:v>157976.55537720001</c:v>
                </c:pt>
                <c:pt idx="4">
                  <c:v>202584.33251767198</c:v>
                </c:pt>
                <c:pt idx="5">
                  <c:v>258931.4866243627</c:v>
                </c:pt>
                <c:pt idx="6">
                  <c:v>330075.9099048769</c:v>
                </c:pt>
                <c:pt idx="7">
                  <c:v>419870.77270865196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7-4007-B821-9F274128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388415"/>
        <c:axId val="1415394175"/>
      </c:lineChart>
      <c:catAx>
        <c:axId val="14153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5394175"/>
        <c:crosses val="autoZero"/>
        <c:auto val="1"/>
        <c:lblAlgn val="ctr"/>
        <c:lblOffset val="100"/>
        <c:noMultiLvlLbl val="0"/>
      </c:catAx>
      <c:valAx>
        <c:axId val="14153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538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Trend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Statement'!$A$65</c:f>
              <c:strCache>
                <c:ptCount val="1"/>
                <c:pt idx="0">
                  <c:v>Net margin</c:v>
                </c:pt>
              </c:strCache>
            </c:strRef>
          </c:tx>
          <c:spPr>
            <a:ln w="38100" cap="rnd">
              <a:solidFill>
                <a:srgbClr val="2E7D5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'Income Statement'!$B$64:$I$64</c:f>
              <c:strCache>
                <c:ptCount val="8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  <c:pt idx="7">
                  <c:v>FY2033</c:v>
                </c:pt>
              </c:strCache>
            </c:strRef>
          </c:cat>
          <c:val>
            <c:numRef>
              <c:f>'Income Statement'!$B$65:$I$65</c:f>
              <c:numCache>
                <c:formatCode>0.0%</c:formatCode>
                <c:ptCount val="8"/>
                <c:pt idx="0">
                  <c:v>0.60391504733432977</c:v>
                </c:pt>
                <c:pt idx="1">
                  <c:v>0.62462035652992298</c:v>
                </c:pt>
                <c:pt idx="2">
                  <c:v>0.64171045300882534</c:v>
                </c:pt>
                <c:pt idx="3">
                  <c:v>0.65581656438823677</c:v>
                </c:pt>
                <c:pt idx="4">
                  <c:v>0.66745970393949705</c:v>
                </c:pt>
                <c:pt idx="5">
                  <c:v>0.67706991436275943</c:v>
                </c:pt>
                <c:pt idx="6">
                  <c:v>0.68500215153751576</c:v>
                </c:pt>
                <c:pt idx="7">
                  <c:v>0.69154939491985423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0-42CF-9C88-9A885A5D7463}"/>
            </c:ext>
          </c:extLst>
        </c:ser>
        <c:ser>
          <c:idx val="1"/>
          <c:order val="1"/>
          <c:tx>
            <c:strRef>
              <c:f>'Income Statement'!$A$66</c:f>
              <c:strCache>
                <c:ptCount val="1"/>
                <c:pt idx="0">
                  <c:v>EBITDA margin</c:v>
                </c:pt>
              </c:strCache>
            </c:strRef>
          </c:tx>
          <c:spPr>
            <a:ln w="381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'Income Statement'!$B$64:$I$64</c:f>
              <c:strCache>
                <c:ptCount val="8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  <c:pt idx="6">
                  <c:v>FY2032</c:v>
                </c:pt>
                <c:pt idx="7">
                  <c:v>FY2033</c:v>
                </c:pt>
              </c:strCache>
            </c:strRef>
          </c:cat>
          <c:val>
            <c:numRef>
              <c:f>'Income Statement'!$B$66:$I$66</c:f>
              <c:numCache>
                <c:formatCode>0.0%</c:formatCode>
                <c:ptCount val="8"/>
                <c:pt idx="0">
                  <c:v>0.72045341305430988</c:v>
                </c:pt>
                <c:pt idx="1">
                  <c:v>0.74307265839403347</c:v>
                </c:pt>
                <c:pt idx="2">
                  <c:v>0.76174251169031348</c:v>
                </c:pt>
                <c:pt idx="3">
                  <c:v>0.7771525493316872</c:v>
                </c:pt>
                <c:pt idx="4">
                  <c:v>0.78987194548012285</c:v>
                </c:pt>
                <c:pt idx="5">
                  <c:v>0.80037049468200605</c:v>
                </c:pt>
                <c:pt idx="6">
                  <c:v>0.80903596386451293</c:v>
                </c:pt>
                <c:pt idx="7">
                  <c:v>0.81618841461832814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50-42CF-9C88-9A885A5D7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396575"/>
        <c:axId val="1415390335"/>
      </c:lineChart>
      <c:catAx>
        <c:axId val="14153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5390335"/>
        <c:crosses val="autoZero"/>
        <c:auto val="1"/>
        <c:lblAlgn val="ctr"/>
        <c:lblOffset val="100"/>
        <c:noMultiLvlLbl val="0"/>
      </c:catAx>
      <c:valAx>
        <c:axId val="14153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1539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FY2033 Cost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'Income Statement'!$A$69:$A$74</c:f>
              <c:strCache>
                <c:ptCount val="6"/>
                <c:pt idx="0">
                  <c:v>Platform fees</c:v>
                </c:pt>
                <c:pt idx="1">
                  <c:v>Marketing &amp; ads</c:v>
                </c:pt>
                <c:pt idx="2">
                  <c:v>Software &amp; tools</c:v>
                </c:pt>
                <c:pt idx="3">
                  <c:v>Contractor / VA</c:v>
                </c:pt>
                <c:pt idx="4">
                  <c:v>Office &amp; overhead</c:v>
                </c:pt>
                <c:pt idx="5">
                  <c:v>D&amp;A</c:v>
                </c:pt>
              </c:strCache>
            </c:strRef>
          </c:cat>
          <c:val>
            <c:numRef>
              <c:f>'Income Statement'!$B$69:$B$74</c:f>
              <c:numCache>
                <c:formatCode>[$$-409]#,##0</c:formatCode>
                <c:ptCount val="6"/>
                <c:pt idx="0">
                  <c:v>60714.502216766756</c:v>
                </c:pt>
                <c:pt idx="1">
                  <c:v>30357.251108383378</c:v>
                </c:pt>
                <c:pt idx="2">
                  <c:v>3158.2362701660163</c:v>
                </c:pt>
                <c:pt idx="3">
                  <c:v>12632.945080664065</c:v>
                </c:pt>
                <c:pt idx="4">
                  <c:v>4737.3544052490261</c:v>
                </c:pt>
                <c:pt idx="5">
                  <c:v>1579.1181350830082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5-437F-B4A9-6FE3C1E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3" name="RevenueByStream">
          <a:extLst>
            <a:ext uri="{FF2B5EF4-FFF2-40B4-BE49-F238E27FC236}">
              <a16:creationId xmlns:a16="http://schemas.microsoft.com/office/drawing/2014/main" id="{6A69D508-5335-2AD3-CC63-3EFDB7F6B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20</xdr:col>
      <xdr:colOff>0</xdr:colOff>
      <xdr:row>34</xdr:row>
      <xdr:rowOff>0</xdr:rowOff>
    </xdr:to>
    <xdr:graphicFrame macro="">
      <xdr:nvGraphicFramePr>
        <xdr:cNvPr id="4" name="NetIncomeTrend">
          <a:extLst>
            <a:ext uri="{FF2B5EF4-FFF2-40B4-BE49-F238E27FC236}">
              <a16:creationId xmlns:a16="http://schemas.microsoft.com/office/drawing/2014/main" id="{6B5E40F2-EFD1-9282-B863-7CA10A6A4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20</xdr:col>
      <xdr:colOff>0</xdr:colOff>
      <xdr:row>50</xdr:row>
      <xdr:rowOff>0</xdr:rowOff>
    </xdr:to>
    <xdr:graphicFrame macro="">
      <xdr:nvGraphicFramePr>
        <xdr:cNvPr id="5" name="MarginTrend">
          <a:extLst>
            <a:ext uri="{FF2B5EF4-FFF2-40B4-BE49-F238E27FC236}">
              <a16:creationId xmlns:a16="http://schemas.microsoft.com/office/drawing/2014/main" id="{D612FB65-9A76-448B-F16A-0AA47B981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50</xdr:row>
      <xdr:rowOff>0</xdr:rowOff>
    </xdr:from>
    <xdr:to>
      <xdr:col>20</xdr:col>
      <xdr:colOff>0</xdr:colOff>
      <xdr:row>66</xdr:row>
      <xdr:rowOff>0</xdr:rowOff>
    </xdr:to>
    <xdr:graphicFrame macro="">
      <xdr:nvGraphicFramePr>
        <xdr:cNvPr id="6" name="CostBreakdown">
          <a:extLst>
            <a:ext uri="{FF2B5EF4-FFF2-40B4-BE49-F238E27FC236}">
              <a16:creationId xmlns:a16="http://schemas.microsoft.com/office/drawing/2014/main" id="{430D4C05-70E7-CA0C-58CB-C665CED1E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2759E1-E866-4203-AC53-88DB91E2E04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7599ec6-04e0-4994-a75f-63686b6ad0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F3A"/>
  </sheetPr>
  <dimension ref="A1:J74"/>
  <sheetViews>
    <sheetView showGridLines="0" showRowColHeaders="0" tabSelected="1" zoomScale="85" zoomScaleNormal="85" workbookViewId="0">
      <selection activeCell="D15" sqref="D15"/>
    </sheetView>
  </sheetViews>
  <sheetFormatPr defaultRowHeight="15" x14ac:dyDescent="0.25"/>
  <cols>
    <col min="1" max="1" width="41.85546875" customWidth="1"/>
    <col min="2" max="9" width="18.140625" customWidth="1"/>
    <col min="10" max="10" width="21" customWidth="1"/>
  </cols>
  <sheetData>
    <row r="1" spans="1:10" ht="30" customHeight="1" x14ac:dyDescent="0.4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</row>
    <row r="2" spans="1:10" ht="30" customHeight="1" x14ac:dyDescent="0.25">
      <c r="A2" s="5" t="s">
        <v>79</v>
      </c>
      <c r="B2" s="5"/>
      <c r="C2" s="5"/>
      <c r="D2" s="5"/>
      <c r="E2" s="5"/>
      <c r="F2" s="5"/>
      <c r="G2" s="5"/>
      <c r="H2" s="5"/>
      <c r="I2" s="5"/>
      <c r="J2" s="5"/>
    </row>
    <row r="4" spans="1:10" ht="21.95" customHeight="1" x14ac:dyDescent="0.25">
      <c r="A4" s="1" t="s">
        <v>7</v>
      </c>
      <c r="B4" s="6" t="s">
        <v>8</v>
      </c>
      <c r="C4" s="6"/>
      <c r="D4" s="7" t="s">
        <v>9</v>
      </c>
      <c r="E4" s="7"/>
      <c r="F4" s="8" t="s">
        <v>10</v>
      </c>
      <c r="G4" s="8"/>
      <c r="H4" s="9" t="s">
        <v>11</v>
      </c>
      <c r="I4" s="9"/>
      <c r="J4" s="3" t="s">
        <v>12</v>
      </c>
    </row>
    <row r="5" spans="1:10" ht="38.1" customHeight="1" x14ac:dyDescent="0.35">
      <c r="B5" s="49">
        <f>SUM(B33:I33)</f>
        <v>2479164.3381971577</v>
      </c>
      <c r="C5" s="49"/>
      <c r="D5" s="50">
        <f>SUM(B46:I46)</f>
        <v>1659617.0833527637</v>
      </c>
      <c r="E5" s="50"/>
      <c r="F5" s="10">
        <f>(I33/B33)^(1/7)-1</f>
        <v>0.26</v>
      </c>
      <c r="G5" s="10"/>
      <c r="H5" s="11">
        <f>AVERAGE(B47:I47)</f>
        <v>0.65589294825261768</v>
      </c>
      <c r="I5" s="11"/>
      <c r="J5" s="51">
        <f>MAX(B33:I33)</f>
        <v>607145.02216766751</v>
      </c>
    </row>
    <row r="7" spans="1:10" ht="21.95" customHeight="1" x14ac:dyDescent="0.25">
      <c r="A7" s="32" t="s">
        <v>0</v>
      </c>
      <c r="B7" s="33" t="s">
        <v>13</v>
      </c>
      <c r="C7" s="33" t="s">
        <v>14</v>
      </c>
      <c r="D7" s="33" t="s">
        <v>15</v>
      </c>
      <c r="E7" s="33" t="s">
        <v>16</v>
      </c>
      <c r="F7" s="33" t="s">
        <v>17</v>
      </c>
      <c r="G7" s="33" t="s">
        <v>18</v>
      </c>
      <c r="H7" s="33" t="s">
        <v>19</v>
      </c>
      <c r="I7" s="33" t="s">
        <v>20</v>
      </c>
      <c r="J7" s="34" t="s">
        <v>21</v>
      </c>
    </row>
    <row r="8" spans="1:10" x14ac:dyDescent="0.25">
      <c r="A8" s="12" t="s">
        <v>22</v>
      </c>
      <c r="B8" s="13">
        <v>35</v>
      </c>
      <c r="C8" s="16">
        <f>B8*(1+$B$14)</f>
        <v>42</v>
      </c>
      <c r="D8" s="16">
        <f t="shared" ref="D8:I8" si="0">C8*(1+$B$14)</f>
        <v>50.4</v>
      </c>
      <c r="E8" s="16">
        <f t="shared" si="0"/>
        <v>60.48</v>
      </c>
      <c r="F8" s="16">
        <f t="shared" si="0"/>
        <v>72.575999999999993</v>
      </c>
      <c r="G8" s="16">
        <f t="shared" si="0"/>
        <v>87.091199999999986</v>
      </c>
      <c r="H8" s="16">
        <f t="shared" si="0"/>
        <v>104.50943999999998</v>
      </c>
      <c r="I8" s="16">
        <f t="shared" si="0"/>
        <v>125.41132799999997</v>
      </c>
      <c r="J8" s="15" t="s">
        <v>31</v>
      </c>
    </row>
    <row r="9" spans="1:10" x14ac:dyDescent="0.25">
      <c r="A9" s="39" t="s">
        <v>23</v>
      </c>
      <c r="B9" s="40">
        <v>8</v>
      </c>
      <c r="C9" s="41">
        <f>B9*(1+$B$14)</f>
        <v>9.6</v>
      </c>
      <c r="D9" s="41">
        <f t="shared" ref="D9:I9" si="1">C9*(1+$B$14)</f>
        <v>11.52</v>
      </c>
      <c r="E9" s="41">
        <f t="shared" si="1"/>
        <v>13.824</v>
      </c>
      <c r="F9" s="41">
        <f t="shared" si="1"/>
        <v>16.588799999999999</v>
      </c>
      <c r="G9" s="41">
        <f t="shared" si="1"/>
        <v>19.906559999999999</v>
      </c>
      <c r="H9" s="41">
        <f t="shared" si="1"/>
        <v>23.887871999999998</v>
      </c>
      <c r="I9" s="41">
        <f t="shared" si="1"/>
        <v>28.665446399999997</v>
      </c>
      <c r="J9" s="15" t="s">
        <v>32</v>
      </c>
    </row>
    <row r="10" spans="1:10" x14ac:dyDescent="0.25">
      <c r="A10" s="12" t="s">
        <v>24</v>
      </c>
      <c r="B10" s="13">
        <v>3</v>
      </c>
      <c r="C10" s="16">
        <f>B10*(1+$B$14)</f>
        <v>3.5999999999999996</v>
      </c>
      <c r="D10" s="16">
        <f t="shared" ref="D10:I10" si="2">C10*(1+$B$14)</f>
        <v>4.3199999999999994</v>
      </c>
      <c r="E10" s="16">
        <f t="shared" si="2"/>
        <v>5.1839999999999993</v>
      </c>
      <c r="F10" s="16">
        <f t="shared" si="2"/>
        <v>6.2207999999999988</v>
      </c>
      <c r="G10" s="16">
        <f t="shared" si="2"/>
        <v>7.4649599999999978</v>
      </c>
      <c r="H10" s="16">
        <f t="shared" si="2"/>
        <v>8.957951999999997</v>
      </c>
      <c r="I10" s="16">
        <f t="shared" si="2"/>
        <v>10.749542399999996</v>
      </c>
      <c r="J10" s="15" t="s">
        <v>33</v>
      </c>
    </row>
    <row r="11" spans="1:10" x14ac:dyDescent="0.25">
      <c r="A11" s="39" t="s">
        <v>25</v>
      </c>
      <c r="B11" s="52">
        <v>85</v>
      </c>
      <c r="C11" s="53">
        <f>B11*(1+$B$15)</f>
        <v>89.25</v>
      </c>
      <c r="D11" s="53">
        <f t="shared" ref="D11:I11" si="3">C11*(1+$B$15)</f>
        <v>93.712500000000006</v>
      </c>
      <c r="E11" s="53">
        <f t="shared" si="3"/>
        <v>98.398125000000007</v>
      </c>
      <c r="F11" s="53">
        <f t="shared" si="3"/>
        <v>103.31803125000002</v>
      </c>
      <c r="G11" s="53">
        <f t="shared" si="3"/>
        <v>108.48393281250003</v>
      </c>
      <c r="H11" s="53">
        <f t="shared" si="3"/>
        <v>113.90812945312504</v>
      </c>
      <c r="I11" s="53">
        <f t="shared" si="3"/>
        <v>119.6035359257813</v>
      </c>
      <c r="J11" s="15" t="s">
        <v>34</v>
      </c>
    </row>
    <row r="12" spans="1:10" x14ac:dyDescent="0.25">
      <c r="A12" s="12" t="s">
        <v>26</v>
      </c>
      <c r="B12" s="54">
        <v>320</v>
      </c>
      <c r="C12" s="55">
        <f>B12*(1+$B$15)</f>
        <v>336</v>
      </c>
      <c r="D12" s="55">
        <f t="shared" ref="D12:I12" si="4">C12*(1+$B$15)</f>
        <v>352.8</v>
      </c>
      <c r="E12" s="55">
        <f t="shared" si="4"/>
        <v>370.44000000000005</v>
      </c>
      <c r="F12" s="55">
        <f t="shared" si="4"/>
        <v>388.96200000000005</v>
      </c>
      <c r="G12" s="55">
        <f t="shared" si="4"/>
        <v>408.41010000000006</v>
      </c>
      <c r="H12" s="55">
        <f t="shared" si="4"/>
        <v>428.83060500000011</v>
      </c>
      <c r="I12" s="55">
        <f t="shared" si="4"/>
        <v>450.27213525000013</v>
      </c>
      <c r="J12" s="15" t="s">
        <v>35</v>
      </c>
    </row>
    <row r="13" spans="1:10" x14ac:dyDescent="0.25">
      <c r="A13" s="39" t="s">
        <v>27</v>
      </c>
      <c r="B13" s="52">
        <v>1500</v>
      </c>
      <c r="C13" s="53">
        <f>B13*(1+$B$15)</f>
        <v>1575</v>
      </c>
      <c r="D13" s="53">
        <f t="shared" ref="D13:I13" si="5">C13*(1+$B$15)</f>
        <v>1653.75</v>
      </c>
      <c r="E13" s="53">
        <f t="shared" si="5"/>
        <v>1736.4375</v>
      </c>
      <c r="F13" s="53">
        <f t="shared" si="5"/>
        <v>1823.2593750000001</v>
      </c>
      <c r="G13" s="53">
        <f t="shared" si="5"/>
        <v>1914.4223437500002</v>
      </c>
      <c r="H13" s="53">
        <f t="shared" si="5"/>
        <v>2010.1434609375003</v>
      </c>
      <c r="I13" s="53">
        <f t="shared" si="5"/>
        <v>2110.6506339843754</v>
      </c>
      <c r="J13" s="15" t="s">
        <v>36</v>
      </c>
    </row>
    <row r="14" spans="1:10" x14ac:dyDescent="0.25">
      <c r="A14" s="12" t="s">
        <v>28</v>
      </c>
      <c r="B14" s="14">
        <v>0.2</v>
      </c>
      <c r="C14" s="17">
        <f>$B$14</f>
        <v>0.2</v>
      </c>
      <c r="D14" s="17">
        <f t="shared" ref="D14:I14" si="6">$B$14</f>
        <v>0.2</v>
      </c>
      <c r="E14" s="17">
        <f t="shared" si="6"/>
        <v>0.2</v>
      </c>
      <c r="F14" s="17">
        <f t="shared" si="6"/>
        <v>0.2</v>
      </c>
      <c r="G14" s="17">
        <f t="shared" si="6"/>
        <v>0.2</v>
      </c>
      <c r="H14" s="17">
        <f t="shared" si="6"/>
        <v>0.2</v>
      </c>
      <c r="I14" s="17">
        <f t="shared" si="6"/>
        <v>0.2</v>
      </c>
      <c r="J14" s="15" t="s">
        <v>37</v>
      </c>
    </row>
    <row r="15" spans="1:10" x14ac:dyDescent="0.25">
      <c r="A15" s="39" t="s">
        <v>29</v>
      </c>
      <c r="B15" s="42">
        <v>0.05</v>
      </c>
      <c r="C15" s="43">
        <f>$B$15</f>
        <v>0.05</v>
      </c>
      <c r="D15" s="43">
        <f t="shared" ref="D15:I15" si="7">$B$15</f>
        <v>0.05</v>
      </c>
      <c r="E15" s="43">
        <f t="shared" si="7"/>
        <v>0.05</v>
      </c>
      <c r="F15" s="43">
        <f t="shared" si="7"/>
        <v>0.05</v>
      </c>
      <c r="G15" s="43">
        <f t="shared" si="7"/>
        <v>0.05</v>
      </c>
      <c r="H15" s="43">
        <f t="shared" si="7"/>
        <v>0.05</v>
      </c>
      <c r="I15" s="43">
        <f t="shared" si="7"/>
        <v>0.05</v>
      </c>
      <c r="J15" s="15" t="s">
        <v>37</v>
      </c>
    </row>
    <row r="16" spans="1:10" x14ac:dyDescent="0.25">
      <c r="A16" s="12" t="s">
        <v>30</v>
      </c>
      <c r="B16" s="14">
        <v>0.15</v>
      </c>
      <c r="C16" s="17">
        <f>$B$16</f>
        <v>0.15</v>
      </c>
      <c r="D16" s="17">
        <f t="shared" ref="D16:I16" si="8">$B$16</f>
        <v>0.15</v>
      </c>
      <c r="E16" s="17">
        <f t="shared" si="8"/>
        <v>0.15</v>
      </c>
      <c r="F16" s="17">
        <f t="shared" si="8"/>
        <v>0.15</v>
      </c>
      <c r="G16" s="17">
        <f t="shared" si="8"/>
        <v>0.15</v>
      </c>
      <c r="H16" s="17">
        <f t="shared" si="8"/>
        <v>0.15</v>
      </c>
      <c r="I16" s="17">
        <f t="shared" si="8"/>
        <v>0.15</v>
      </c>
      <c r="J16" s="15" t="s">
        <v>38</v>
      </c>
    </row>
    <row r="18" spans="1:10" ht="21.95" customHeight="1" x14ac:dyDescent="0.25">
      <c r="A18" s="18" t="s">
        <v>39</v>
      </c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12" t="s">
        <v>40</v>
      </c>
      <c r="B19" s="14">
        <v>0.1</v>
      </c>
      <c r="C19" s="20">
        <f>$B$19</f>
        <v>0.1</v>
      </c>
      <c r="D19" s="20">
        <f t="shared" ref="D19:I19" si="9">$B$19</f>
        <v>0.1</v>
      </c>
      <c r="E19" s="20">
        <f t="shared" si="9"/>
        <v>0.1</v>
      </c>
      <c r="F19" s="20">
        <f t="shared" si="9"/>
        <v>0.1</v>
      </c>
      <c r="G19" s="20">
        <f t="shared" si="9"/>
        <v>0.1</v>
      </c>
      <c r="H19" s="20">
        <f t="shared" si="9"/>
        <v>0.1</v>
      </c>
      <c r="I19" s="20">
        <f t="shared" si="9"/>
        <v>0.1</v>
      </c>
      <c r="J19" s="15" t="s">
        <v>46</v>
      </c>
    </row>
    <row r="20" spans="1:10" x14ac:dyDescent="0.25">
      <c r="A20" s="39" t="s">
        <v>41</v>
      </c>
      <c r="B20" s="42">
        <v>0.05</v>
      </c>
      <c r="C20" s="44">
        <f>$B$20</f>
        <v>0.05</v>
      </c>
      <c r="D20" s="44">
        <f t="shared" ref="D20:I20" si="10">$B$20</f>
        <v>0.05</v>
      </c>
      <c r="E20" s="44">
        <f t="shared" si="10"/>
        <v>0.05</v>
      </c>
      <c r="F20" s="44">
        <f t="shared" si="10"/>
        <v>0.05</v>
      </c>
      <c r="G20" s="44">
        <f t="shared" si="10"/>
        <v>0.05</v>
      </c>
      <c r="H20" s="44">
        <f t="shared" si="10"/>
        <v>0.05</v>
      </c>
      <c r="I20" s="44">
        <f t="shared" si="10"/>
        <v>0.05</v>
      </c>
      <c r="J20" s="15" t="s">
        <v>46</v>
      </c>
    </row>
    <row r="21" spans="1:10" x14ac:dyDescent="0.25">
      <c r="A21" s="12" t="s">
        <v>42</v>
      </c>
      <c r="B21" s="54">
        <v>2400</v>
      </c>
      <c r="C21" s="56">
        <f>B21*1.04</f>
        <v>2496</v>
      </c>
      <c r="D21" s="56">
        <f t="shared" ref="D21:I21" si="11">C21*1.04</f>
        <v>2595.84</v>
      </c>
      <c r="E21" s="56">
        <f t="shared" si="11"/>
        <v>2699.6736000000001</v>
      </c>
      <c r="F21" s="56">
        <f t="shared" si="11"/>
        <v>2807.6605440000003</v>
      </c>
      <c r="G21" s="56">
        <f t="shared" si="11"/>
        <v>2919.9669657600002</v>
      </c>
      <c r="H21" s="56">
        <f t="shared" si="11"/>
        <v>3036.7656443904002</v>
      </c>
      <c r="I21" s="56">
        <f t="shared" si="11"/>
        <v>3158.2362701660163</v>
      </c>
      <c r="J21" s="15" t="s">
        <v>47</v>
      </c>
    </row>
    <row r="22" spans="1:10" x14ac:dyDescent="0.25">
      <c r="A22" s="39" t="s">
        <v>43</v>
      </c>
      <c r="B22" s="52">
        <v>9600</v>
      </c>
      <c r="C22" s="57">
        <f>B22*1.04</f>
        <v>9984</v>
      </c>
      <c r="D22" s="57">
        <f t="shared" ref="D22:I22" si="12">C22*1.04</f>
        <v>10383.36</v>
      </c>
      <c r="E22" s="57">
        <f t="shared" si="12"/>
        <v>10798.6944</v>
      </c>
      <c r="F22" s="57">
        <f t="shared" si="12"/>
        <v>11230.642176000001</v>
      </c>
      <c r="G22" s="57">
        <f t="shared" si="12"/>
        <v>11679.867863040001</v>
      </c>
      <c r="H22" s="57">
        <f t="shared" si="12"/>
        <v>12147.062577561601</v>
      </c>
      <c r="I22" s="57">
        <f t="shared" si="12"/>
        <v>12632.945080664065</v>
      </c>
      <c r="J22" s="15" t="s">
        <v>47</v>
      </c>
    </row>
    <row r="23" spans="1:10" x14ac:dyDescent="0.25">
      <c r="A23" s="12" t="s">
        <v>44</v>
      </c>
      <c r="B23" s="54">
        <v>3600</v>
      </c>
      <c r="C23" s="56">
        <f>B23*1.04</f>
        <v>3744</v>
      </c>
      <c r="D23" s="56">
        <f t="shared" ref="D23:I23" si="13">C23*1.04</f>
        <v>3893.76</v>
      </c>
      <c r="E23" s="56">
        <f t="shared" si="13"/>
        <v>4049.5104000000006</v>
      </c>
      <c r="F23" s="56">
        <f t="shared" si="13"/>
        <v>4211.4908160000005</v>
      </c>
      <c r="G23" s="56">
        <f t="shared" si="13"/>
        <v>4379.950448640001</v>
      </c>
      <c r="H23" s="56">
        <f t="shared" si="13"/>
        <v>4555.1484665856015</v>
      </c>
      <c r="I23" s="56">
        <f t="shared" si="13"/>
        <v>4737.3544052490261</v>
      </c>
      <c r="J23" s="15" t="s">
        <v>47</v>
      </c>
    </row>
    <row r="24" spans="1:10" x14ac:dyDescent="0.25">
      <c r="A24" s="39" t="s">
        <v>45</v>
      </c>
      <c r="B24" s="52">
        <v>1200</v>
      </c>
      <c r="C24" s="57">
        <f>B24*1.04</f>
        <v>1248</v>
      </c>
      <c r="D24" s="57">
        <f t="shared" ref="D24:I24" si="14">C24*1.04</f>
        <v>1297.92</v>
      </c>
      <c r="E24" s="57">
        <f t="shared" si="14"/>
        <v>1349.8368</v>
      </c>
      <c r="F24" s="57">
        <f t="shared" si="14"/>
        <v>1403.8302720000002</v>
      </c>
      <c r="G24" s="57">
        <f t="shared" si="14"/>
        <v>1459.9834828800001</v>
      </c>
      <c r="H24" s="57">
        <f t="shared" si="14"/>
        <v>1518.3828221952001</v>
      </c>
      <c r="I24" s="57">
        <f t="shared" si="14"/>
        <v>1579.1181350830082</v>
      </c>
      <c r="J24" s="15" t="s">
        <v>47</v>
      </c>
    </row>
    <row r="26" spans="1:10" ht="24" customHeight="1" x14ac:dyDescent="0.3">
      <c r="A26" s="21" t="s">
        <v>1</v>
      </c>
    </row>
    <row r="27" spans="1:10" ht="21.95" customHeight="1" x14ac:dyDescent="0.25">
      <c r="A27" s="22" t="s">
        <v>2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3" t="s">
        <v>48</v>
      </c>
      <c r="B28" s="58">
        <f>B8*B11*12</f>
        <v>35700</v>
      </c>
      <c r="C28" s="58">
        <f>C8*C11*12</f>
        <v>44982</v>
      </c>
      <c r="D28" s="58">
        <f t="shared" ref="D28:I28" si="15">D8*D11*12</f>
        <v>56677.320000000007</v>
      </c>
      <c r="E28" s="58">
        <f t="shared" si="15"/>
        <v>71413.42319999999</v>
      </c>
      <c r="F28" s="58">
        <f t="shared" si="15"/>
        <v>89980.913232000006</v>
      </c>
      <c r="G28" s="58">
        <f t="shared" si="15"/>
        <v>113375.95067232002</v>
      </c>
      <c r="H28" s="58">
        <f t="shared" si="15"/>
        <v>142853.69784712323</v>
      </c>
      <c r="I28" s="58">
        <f t="shared" si="15"/>
        <v>179995.65928737528</v>
      </c>
    </row>
    <row r="29" spans="1:10" x14ac:dyDescent="0.25">
      <c r="A29" s="45" t="s">
        <v>49</v>
      </c>
      <c r="B29" s="59">
        <f>B9*B12*12</f>
        <v>30720</v>
      </c>
      <c r="C29" s="59">
        <f>C9*C12*12</f>
        <v>38707.199999999997</v>
      </c>
      <c r="D29" s="59">
        <f t="shared" ref="D29:I29" si="16">D9*D12*12</f>
        <v>48771.072</v>
      </c>
      <c r="E29" s="59">
        <f t="shared" si="16"/>
        <v>61451.550720000014</v>
      </c>
      <c r="F29" s="59">
        <f t="shared" si="16"/>
        <v>77428.953907200004</v>
      </c>
      <c r="G29" s="59">
        <f t="shared" si="16"/>
        <v>97560.481923072002</v>
      </c>
      <c r="H29" s="59">
        <f t="shared" si="16"/>
        <v>122926.20722307076</v>
      </c>
      <c r="I29" s="59">
        <f t="shared" si="16"/>
        <v>154887.02110106914</v>
      </c>
    </row>
    <row r="30" spans="1:10" x14ac:dyDescent="0.25">
      <c r="A30" s="23" t="s">
        <v>50</v>
      </c>
      <c r="B30" s="58">
        <f>B10*B13*12</f>
        <v>54000</v>
      </c>
      <c r="C30" s="58">
        <f>C10*C13*12</f>
        <v>68039.999999999985</v>
      </c>
      <c r="D30" s="58">
        <f t="shared" ref="D30:I30" si="17">D10*D13*12</f>
        <v>85730.4</v>
      </c>
      <c r="E30" s="58">
        <f t="shared" si="17"/>
        <v>108020.30399999999</v>
      </c>
      <c r="F30" s="58">
        <f t="shared" si="17"/>
        <v>136105.58303999997</v>
      </c>
      <c r="G30" s="58">
        <f t="shared" si="17"/>
        <v>171493.03463039995</v>
      </c>
      <c r="H30" s="58">
        <f t="shared" si="17"/>
        <v>216081.22363430398</v>
      </c>
      <c r="I30" s="58">
        <f t="shared" si="17"/>
        <v>272262.341779223</v>
      </c>
    </row>
    <row r="31" spans="1:10" x14ac:dyDescent="0.25">
      <c r="A31" s="24" t="s">
        <v>51</v>
      </c>
      <c r="B31" s="25"/>
      <c r="C31" s="26">
        <f>C33/B33-1</f>
        <v>0.25999999999999979</v>
      </c>
      <c r="D31" s="26">
        <f>D33/C33-1</f>
        <v>0.26000000000000023</v>
      </c>
      <c r="E31" s="26">
        <f t="shared" ref="E31:I31" si="18">E33/D33-1</f>
        <v>0.26</v>
      </c>
      <c r="F31" s="26">
        <f t="shared" si="18"/>
        <v>0.25999999999999979</v>
      </c>
      <c r="G31" s="26">
        <f t="shared" si="18"/>
        <v>0.26</v>
      </c>
      <c r="H31" s="26">
        <f t="shared" si="18"/>
        <v>0.26</v>
      </c>
      <c r="I31" s="26">
        <f t="shared" si="18"/>
        <v>0.26000000000000023</v>
      </c>
    </row>
    <row r="33" spans="1:10" ht="21.95" customHeight="1" x14ac:dyDescent="0.25">
      <c r="A33" s="35" t="s">
        <v>52</v>
      </c>
      <c r="B33" s="60">
        <f>SUM(B28:B30)</f>
        <v>120420</v>
      </c>
      <c r="C33" s="60">
        <f>SUM(C28:C30)</f>
        <v>151729.19999999998</v>
      </c>
      <c r="D33" s="60">
        <f t="shared" ref="D33:I33" si="19">SUM(D28:D30)</f>
        <v>191178.79200000002</v>
      </c>
      <c r="E33" s="60">
        <f t="shared" si="19"/>
        <v>240885.27792000002</v>
      </c>
      <c r="F33" s="60">
        <f t="shared" si="19"/>
        <v>303515.45017919998</v>
      </c>
      <c r="G33" s="60">
        <f t="shared" si="19"/>
        <v>382429.467225792</v>
      </c>
      <c r="H33" s="60">
        <f t="shared" si="19"/>
        <v>481861.12870449794</v>
      </c>
      <c r="I33" s="60">
        <f t="shared" si="19"/>
        <v>607145.02216766751</v>
      </c>
    </row>
    <row r="35" spans="1:10" ht="21.95" customHeight="1" x14ac:dyDescent="0.25">
      <c r="A35" s="27" t="s">
        <v>3</v>
      </c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25">
      <c r="A36" s="23" t="s">
        <v>53</v>
      </c>
      <c r="B36" s="64">
        <f>-B33*B19</f>
        <v>-12042</v>
      </c>
      <c r="C36" s="64">
        <f t="shared" ref="C36:I36" si="20">-C33*C19</f>
        <v>-15172.919999999998</v>
      </c>
      <c r="D36" s="64">
        <f t="shared" si="20"/>
        <v>-19117.879200000003</v>
      </c>
      <c r="E36" s="64">
        <f t="shared" si="20"/>
        <v>-24088.527792000004</v>
      </c>
      <c r="F36" s="64">
        <f t="shared" si="20"/>
        <v>-30351.545017919998</v>
      </c>
      <c r="G36" s="64">
        <f t="shared" si="20"/>
        <v>-38242.946722579203</v>
      </c>
      <c r="H36" s="64">
        <f t="shared" si="20"/>
        <v>-48186.112870449797</v>
      </c>
      <c r="I36" s="64">
        <f t="shared" si="20"/>
        <v>-60714.502216766756</v>
      </c>
    </row>
    <row r="37" spans="1:10" x14ac:dyDescent="0.25">
      <c r="A37" s="45" t="s">
        <v>54</v>
      </c>
      <c r="B37" s="65">
        <f>-B33*B20</f>
        <v>-6021</v>
      </c>
      <c r="C37" s="65">
        <f t="shared" ref="C37:I37" si="21">-C33*C20</f>
        <v>-7586.4599999999991</v>
      </c>
      <c r="D37" s="65">
        <f t="shared" si="21"/>
        <v>-9558.9396000000015</v>
      </c>
      <c r="E37" s="65">
        <f t="shared" si="21"/>
        <v>-12044.263896000002</v>
      </c>
      <c r="F37" s="65">
        <f t="shared" si="21"/>
        <v>-15175.772508959999</v>
      </c>
      <c r="G37" s="65">
        <f t="shared" si="21"/>
        <v>-19121.473361289602</v>
      </c>
      <c r="H37" s="65">
        <f t="shared" si="21"/>
        <v>-24093.056435224898</v>
      </c>
      <c r="I37" s="65">
        <f t="shared" si="21"/>
        <v>-30357.251108383378</v>
      </c>
    </row>
    <row r="38" spans="1:10" x14ac:dyDescent="0.25">
      <c r="A38" s="23" t="s">
        <v>55</v>
      </c>
      <c r="B38" s="64">
        <f>-B21</f>
        <v>-2400</v>
      </c>
      <c r="C38" s="64">
        <f t="shared" ref="C38:I38" si="22">-C21</f>
        <v>-2496</v>
      </c>
      <c r="D38" s="64">
        <f t="shared" si="22"/>
        <v>-2595.84</v>
      </c>
      <c r="E38" s="64">
        <f t="shared" si="22"/>
        <v>-2699.6736000000001</v>
      </c>
      <c r="F38" s="64">
        <f t="shared" si="22"/>
        <v>-2807.6605440000003</v>
      </c>
      <c r="G38" s="64">
        <f t="shared" si="22"/>
        <v>-2919.9669657600002</v>
      </c>
      <c r="H38" s="64">
        <f t="shared" si="22"/>
        <v>-3036.7656443904002</v>
      </c>
      <c r="I38" s="64">
        <f t="shared" si="22"/>
        <v>-3158.2362701660163</v>
      </c>
    </row>
    <row r="39" spans="1:10" x14ac:dyDescent="0.25">
      <c r="A39" s="45" t="s">
        <v>56</v>
      </c>
      <c r="B39" s="65">
        <f>-B22</f>
        <v>-9600</v>
      </c>
      <c r="C39" s="65">
        <f t="shared" ref="C39:I39" si="23">-C22</f>
        <v>-9984</v>
      </c>
      <c r="D39" s="65">
        <f t="shared" si="23"/>
        <v>-10383.36</v>
      </c>
      <c r="E39" s="65">
        <f t="shared" si="23"/>
        <v>-10798.6944</v>
      </c>
      <c r="F39" s="65">
        <f t="shared" si="23"/>
        <v>-11230.642176000001</v>
      </c>
      <c r="G39" s="65">
        <f t="shared" si="23"/>
        <v>-11679.867863040001</v>
      </c>
      <c r="H39" s="65">
        <f t="shared" si="23"/>
        <v>-12147.062577561601</v>
      </c>
      <c r="I39" s="65">
        <f t="shared" si="23"/>
        <v>-12632.945080664065</v>
      </c>
    </row>
    <row r="40" spans="1:10" x14ac:dyDescent="0.25">
      <c r="A40" s="23" t="s">
        <v>57</v>
      </c>
      <c r="B40" s="64">
        <f>-B23</f>
        <v>-3600</v>
      </c>
      <c r="C40" s="64">
        <f t="shared" ref="C40:I40" si="24">-C23</f>
        <v>-3744</v>
      </c>
      <c r="D40" s="64">
        <f t="shared" si="24"/>
        <v>-3893.76</v>
      </c>
      <c r="E40" s="64">
        <f t="shared" si="24"/>
        <v>-4049.5104000000006</v>
      </c>
      <c r="F40" s="64">
        <f t="shared" si="24"/>
        <v>-4211.4908160000005</v>
      </c>
      <c r="G40" s="64">
        <f t="shared" si="24"/>
        <v>-4379.950448640001</v>
      </c>
      <c r="H40" s="64">
        <f t="shared" si="24"/>
        <v>-4555.1484665856015</v>
      </c>
      <c r="I40" s="64">
        <f t="shared" si="24"/>
        <v>-4737.3544052490261</v>
      </c>
    </row>
    <row r="41" spans="1:10" ht="21.95" customHeight="1" x14ac:dyDescent="0.25">
      <c r="A41" s="36" t="s">
        <v>58</v>
      </c>
      <c r="B41" s="66">
        <f>SUM(B36:B40)</f>
        <v>-33663</v>
      </c>
      <c r="C41" s="66">
        <f t="shared" ref="C41:I41" si="25">SUM(C36:C40)</f>
        <v>-38983.379999999997</v>
      </c>
      <c r="D41" s="66">
        <f t="shared" si="25"/>
        <v>-45549.778800000007</v>
      </c>
      <c r="E41" s="66">
        <f t="shared" si="25"/>
        <v>-53680.670088000006</v>
      </c>
      <c r="F41" s="66">
        <f t="shared" si="25"/>
        <v>-63777.111062879994</v>
      </c>
      <c r="G41" s="66">
        <f t="shared" si="25"/>
        <v>-76344.205361308806</v>
      </c>
      <c r="H41" s="66">
        <f t="shared" si="25"/>
        <v>-92018.145994212304</v>
      </c>
      <c r="I41" s="66">
        <f t="shared" si="25"/>
        <v>-111600.28908122925</v>
      </c>
    </row>
    <row r="42" spans="1:10" ht="21.95" customHeight="1" x14ac:dyDescent="0.25">
      <c r="A42" s="37" t="s">
        <v>59</v>
      </c>
      <c r="B42" s="61">
        <f>B33+B41</f>
        <v>86757</v>
      </c>
      <c r="C42" s="61">
        <f t="shared" ref="C42:I42" si="26">C33+C41</f>
        <v>112745.81999999998</v>
      </c>
      <c r="D42" s="61">
        <f t="shared" si="26"/>
        <v>145629.01320000002</v>
      </c>
      <c r="E42" s="61">
        <f t="shared" si="26"/>
        <v>187204.60783200001</v>
      </c>
      <c r="F42" s="61">
        <f t="shared" si="26"/>
        <v>239738.33911631998</v>
      </c>
      <c r="G42" s="61">
        <f t="shared" si="26"/>
        <v>306085.26186448318</v>
      </c>
      <c r="H42" s="61">
        <f t="shared" si="26"/>
        <v>389842.98271028564</v>
      </c>
      <c r="I42" s="61">
        <f t="shared" si="26"/>
        <v>495544.73308643827</v>
      </c>
    </row>
    <row r="43" spans="1:10" x14ac:dyDescent="0.25">
      <c r="A43" s="23" t="s">
        <v>60</v>
      </c>
      <c r="B43" s="64">
        <f>-B24</f>
        <v>-1200</v>
      </c>
      <c r="C43" s="64">
        <f t="shared" ref="C43:I43" si="27">-C24</f>
        <v>-1248</v>
      </c>
      <c r="D43" s="64">
        <f t="shared" si="27"/>
        <v>-1297.92</v>
      </c>
      <c r="E43" s="64">
        <f t="shared" si="27"/>
        <v>-1349.8368</v>
      </c>
      <c r="F43" s="64">
        <f t="shared" si="27"/>
        <v>-1403.8302720000002</v>
      </c>
      <c r="G43" s="64">
        <f t="shared" si="27"/>
        <v>-1459.9834828800001</v>
      </c>
      <c r="H43" s="64">
        <f t="shared" si="27"/>
        <v>-1518.3828221952001</v>
      </c>
      <c r="I43" s="64">
        <f t="shared" si="27"/>
        <v>-1579.1181350830082</v>
      </c>
    </row>
    <row r="44" spans="1:10" ht="21.95" customHeight="1" x14ac:dyDescent="0.25">
      <c r="A44" s="35" t="s">
        <v>61</v>
      </c>
      <c r="B44" s="60">
        <f>B42+B43</f>
        <v>85557</v>
      </c>
      <c r="C44" s="60">
        <f t="shared" ref="C44:I44" si="28">C42+C43</f>
        <v>111497.81999999998</v>
      </c>
      <c r="D44" s="60">
        <f t="shared" si="28"/>
        <v>144331.0932</v>
      </c>
      <c r="E44" s="60">
        <f t="shared" si="28"/>
        <v>185854.77103200002</v>
      </c>
      <c r="F44" s="60">
        <f t="shared" si="28"/>
        <v>238334.50884431999</v>
      </c>
      <c r="G44" s="60">
        <f t="shared" si="28"/>
        <v>304625.27838160319</v>
      </c>
      <c r="H44" s="60">
        <f t="shared" si="28"/>
        <v>388324.59988809045</v>
      </c>
      <c r="I44" s="60">
        <f t="shared" si="28"/>
        <v>493965.61495135527</v>
      </c>
    </row>
    <row r="45" spans="1:10" x14ac:dyDescent="0.25">
      <c r="A45" s="23" t="s">
        <v>62</v>
      </c>
      <c r="B45" s="64">
        <f>-B44*B16</f>
        <v>-12833.55</v>
      </c>
      <c r="C45" s="64">
        <f t="shared" ref="C45:I45" si="29">-C44*C16</f>
        <v>-16724.672999999995</v>
      </c>
      <c r="D45" s="64">
        <f t="shared" si="29"/>
        <v>-21649.663980000001</v>
      </c>
      <c r="E45" s="64">
        <f t="shared" si="29"/>
        <v>-27878.215654800002</v>
      </c>
      <c r="F45" s="64">
        <f t="shared" si="29"/>
        <v>-35750.176326647997</v>
      </c>
      <c r="G45" s="64">
        <f t="shared" si="29"/>
        <v>-45693.791757240477</v>
      </c>
      <c r="H45" s="64">
        <f t="shared" si="29"/>
        <v>-58248.689983213568</v>
      </c>
      <c r="I45" s="64">
        <f t="shared" si="29"/>
        <v>-74094.842242703293</v>
      </c>
    </row>
    <row r="46" spans="1:10" ht="26.1" customHeight="1" x14ac:dyDescent="0.25">
      <c r="A46" s="38" t="s">
        <v>4</v>
      </c>
      <c r="B46" s="62">
        <f>B44+B45</f>
        <v>72723.45</v>
      </c>
      <c r="C46" s="62">
        <f t="shared" ref="C46:I46" si="30">C44+C45</f>
        <v>94773.146999999983</v>
      </c>
      <c r="D46" s="62">
        <f t="shared" si="30"/>
        <v>122681.42922000001</v>
      </c>
      <c r="E46" s="62">
        <f t="shared" si="30"/>
        <v>157976.55537720001</v>
      </c>
      <c r="F46" s="62">
        <f t="shared" si="30"/>
        <v>202584.33251767198</v>
      </c>
      <c r="G46" s="62">
        <f t="shared" si="30"/>
        <v>258931.4866243627</v>
      </c>
      <c r="H46" s="62">
        <f t="shared" si="30"/>
        <v>330075.9099048769</v>
      </c>
      <c r="I46" s="62">
        <f t="shared" si="30"/>
        <v>419870.77270865196</v>
      </c>
    </row>
    <row r="47" spans="1:10" x14ac:dyDescent="0.25">
      <c r="A47" s="24" t="s">
        <v>63</v>
      </c>
      <c r="B47" s="29">
        <f>IFERROR(B46/B33,0)</f>
        <v>0.60391504733432977</v>
      </c>
      <c r="C47" s="29">
        <f t="shared" ref="C47:I47" si="31">IFERROR(C46/C33,0)</f>
        <v>0.62462035652992298</v>
      </c>
      <c r="D47" s="29">
        <f t="shared" si="31"/>
        <v>0.64171045300882534</v>
      </c>
      <c r="E47" s="29">
        <f t="shared" si="31"/>
        <v>0.65581656438823677</v>
      </c>
      <c r="F47" s="29">
        <f t="shared" si="31"/>
        <v>0.66745970393949705</v>
      </c>
      <c r="G47" s="29">
        <f t="shared" si="31"/>
        <v>0.67706991436275943</v>
      </c>
      <c r="H47" s="29">
        <f t="shared" si="31"/>
        <v>0.68500215153751576</v>
      </c>
      <c r="I47" s="29">
        <f t="shared" si="31"/>
        <v>0.69154939491985423</v>
      </c>
    </row>
    <row r="48" spans="1:10" x14ac:dyDescent="0.25">
      <c r="A48" s="24" t="s">
        <v>64</v>
      </c>
      <c r="B48" s="30">
        <f>IFERROR(B42/B33,0)</f>
        <v>0.72045341305430988</v>
      </c>
      <c r="C48" s="30">
        <f t="shared" ref="C48:I48" si="32">IFERROR(C42/C33,0)</f>
        <v>0.74307265839403347</v>
      </c>
      <c r="D48" s="30">
        <f t="shared" si="32"/>
        <v>0.76174251169031348</v>
      </c>
      <c r="E48" s="30">
        <f t="shared" si="32"/>
        <v>0.7771525493316872</v>
      </c>
      <c r="F48" s="30">
        <f t="shared" si="32"/>
        <v>0.78987194548012285</v>
      </c>
      <c r="G48" s="30">
        <f t="shared" si="32"/>
        <v>0.80037049468200605</v>
      </c>
      <c r="H48" s="30">
        <f t="shared" si="32"/>
        <v>0.80903596386451293</v>
      </c>
      <c r="I48" s="30">
        <f t="shared" si="32"/>
        <v>0.81618841461832814</v>
      </c>
    </row>
    <row r="50" spans="1:9" x14ac:dyDescent="0.25">
      <c r="A50" s="31" t="s">
        <v>65</v>
      </c>
    </row>
    <row r="52" spans="1:9" x14ac:dyDescent="0.25">
      <c r="A52" s="47" t="s">
        <v>66</v>
      </c>
      <c r="B52" s="46"/>
      <c r="C52" s="46"/>
      <c r="D52" s="46"/>
      <c r="E52" s="46"/>
      <c r="F52" s="46"/>
      <c r="G52" s="46"/>
      <c r="H52" s="46"/>
      <c r="I52" s="46"/>
    </row>
    <row r="53" spans="1:9" x14ac:dyDescent="0.25">
      <c r="A53" s="46" t="s">
        <v>67</v>
      </c>
      <c r="B53" s="46" t="str">
        <f>B7</f>
        <v>FY2026</v>
      </c>
      <c r="C53" s="46" t="str">
        <f>C7</f>
        <v>FY2027</v>
      </c>
      <c r="D53" s="46" t="str">
        <f>D7</f>
        <v>FY2028</v>
      </c>
      <c r="E53" s="46" t="str">
        <f>E7</f>
        <v>FY2029</v>
      </c>
      <c r="F53" s="46" t="str">
        <f>F7</f>
        <v>FY2030</v>
      </c>
      <c r="G53" s="46" t="str">
        <f>G7</f>
        <v>FY2031</v>
      </c>
      <c r="H53" s="46" t="str">
        <f>H7</f>
        <v>FY2032</v>
      </c>
      <c r="I53" s="46" t="str">
        <f>I7</f>
        <v>FY2033</v>
      </c>
    </row>
    <row r="54" spans="1:9" x14ac:dyDescent="0.25">
      <c r="A54" s="46" t="s">
        <v>68</v>
      </c>
      <c r="B54" s="63">
        <f>B28</f>
        <v>35700</v>
      </c>
      <c r="C54" s="63">
        <f>C28</f>
        <v>44982</v>
      </c>
      <c r="D54" s="63">
        <f>D28</f>
        <v>56677.320000000007</v>
      </c>
      <c r="E54" s="63">
        <f>E28</f>
        <v>71413.42319999999</v>
      </c>
      <c r="F54" s="63">
        <f>F28</f>
        <v>89980.913232000006</v>
      </c>
      <c r="G54" s="63">
        <f>G28</f>
        <v>113375.95067232002</v>
      </c>
      <c r="H54" s="63">
        <f>H28</f>
        <v>142853.69784712323</v>
      </c>
      <c r="I54" s="63">
        <f>I28</f>
        <v>179995.65928737528</v>
      </c>
    </row>
    <row r="55" spans="1:9" x14ac:dyDescent="0.25">
      <c r="A55" s="46" t="s">
        <v>69</v>
      </c>
      <c r="B55" s="63">
        <f>B29</f>
        <v>30720</v>
      </c>
      <c r="C55" s="63">
        <f>C29</f>
        <v>38707.199999999997</v>
      </c>
      <c r="D55" s="63">
        <f>D29</f>
        <v>48771.072</v>
      </c>
      <c r="E55" s="63">
        <f>E29</f>
        <v>61451.550720000014</v>
      </c>
      <c r="F55" s="63">
        <f>F29</f>
        <v>77428.953907200004</v>
      </c>
      <c r="G55" s="63">
        <f>G29</f>
        <v>97560.481923072002</v>
      </c>
      <c r="H55" s="63">
        <f>H29</f>
        <v>122926.20722307076</v>
      </c>
      <c r="I55" s="63">
        <f>I29</f>
        <v>154887.02110106914</v>
      </c>
    </row>
    <row r="56" spans="1:9" x14ac:dyDescent="0.25">
      <c r="A56" s="46" t="s">
        <v>70</v>
      </c>
      <c r="B56" s="63">
        <f>B30</f>
        <v>54000</v>
      </c>
      <c r="C56" s="63">
        <f>C30</f>
        <v>68039.999999999985</v>
      </c>
      <c r="D56" s="63">
        <f>D30</f>
        <v>85730.4</v>
      </c>
      <c r="E56" s="63">
        <f>E30</f>
        <v>108020.30399999999</v>
      </c>
      <c r="F56" s="63">
        <f>F30</f>
        <v>136105.58303999997</v>
      </c>
      <c r="G56" s="63">
        <f>G30</f>
        <v>171493.03463039995</v>
      </c>
      <c r="H56" s="63">
        <f>H30</f>
        <v>216081.22363430398</v>
      </c>
      <c r="I56" s="63">
        <f>I30</f>
        <v>272262.341779223</v>
      </c>
    </row>
    <row r="57" spans="1:9" x14ac:dyDescent="0.25">
      <c r="A57" s="46" t="s">
        <v>4</v>
      </c>
      <c r="B57" s="63">
        <f>B46</f>
        <v>72723.45</v>
      </c>
      <c r="C57" s="63">
        <f>C46</f>
        <v>94773.146999999983</v>
      </c>
      <c r="D57" s="63">
        <f>D46</f>
        <v>122681.42922000001</v>
      </c>
      <c r="E57" s="63">
        <f>E46</f>
        <v>157976.55537720001</v>
      </c>
      <c r="F57" s="63">
        <f>F46</f>
        <v>202584.33251767198</v>
      </c>
      <c r="G57" s="63">
        <f>G46</f>
        <v>258931.4866243627</v>
      </c>
      <c r="H57" s="63">
        <f>H46</f>
        <v>330075.9099048769</v>
      </c>
      <c r="I57" s="63">
        <f>I46</f>
        <v>419870.77270865196</v>
      </c>
    </row>
    <row r="58" spans="1:9" x14ac:dyDescent="0.25">
      <c r="A58" s="46" t="s">
        <v>5</v>
      </c>
      <c r="B58" s="48">
        <f>B47</f>
        <v>0.60391504733432977</v>
      </c>
      <c r="C58" s="48">
        <f>C47</f>
        <v>0.62462035652992298</v>
      </c>
      <c r="D58" s="48">
        <f>D47</f>
        <v>0.64171045300882534</v>
      </c>
      <c r="E58" s="48">
        <f>E47</f>
        <v>0.65581656438823677</v>
      </c>
      <c r="F58" s="48">
        <f>F47</f>
        <v>0.66745970393949705</v>
      </c>
      <c r="G58" s="48">
        <f>G47</f>
        <v>0.67706991436275943</v>
      </c>
      <c r="H58" s="48">
        <f>H47</f>
        <v>0.68500215153751576</v>
      </c>
      <c r="I58" s="48">
        <f>I47</f>
        <v>0.69154939491985423</v>
      </c>
    </row>
    <row r="59" spans="1:9" x14ac:dyDescent="0.25">
      <c r="A59" s="46" t="s">
        <v>71</v>
      </c>
      <c r="B59" s="48">
        <f>B48</f>
        <v>0.72045341305430988</v>
      </c>
      <c r="C59" s="48">
        <f>C48</f>
        <v>0.74307265839403347</v>
      </c>
      <c r="D59" s="48">
        <f>D48</f>
        <v>0.76174251169031348</v>
      </c>
      <c r="E59" s="48">
        <f>E48</f>
        <v>0.7771525493316872</v>
      </c>
      <c r="F59" s="48">
        <f>F48</f>
        <v>0.78987194548012285</v>
      </c>
      <c r="G59" s="48">
        <f>G48</f>
        <v>0.80037049468200605</v>
      </c>
      <c r="H59" s="48">
        <f>H48</f>
        <v>0.80903596386451293</v>
      </c>
      <c r="I59" s="48">
        <f>I48</f>
        <v>0.81618841461832814</v>
      </c>
    </row>
    <row r="61" spans="1:9" x14ac:dyDescent="0.25">
      <c r="A61" s="46" t="s">
        <v>67</v>
      </c>
      <c r="B61" s="46" t="str">
        <f>B53</f>
        <v>FY2026</v>
      </c>
      <c r="C61" s="46" t="str">
        <f>C53</f>
        <v>FY2027</v>
      </c>
      <c r="D61" s="46" t="str">
        <f>D53</f>
        <v>FY2028</v>
      </c>
      <c r="E61" s="46" t="str">
        <f>E53</f>
        <v>FY2029</v>
      </c>
      <c r="F61" s="46" t="str">
        <f>F53</f>
        <v>FY2030</v>
      </c>
      <c r="G61" s="46" t="str">
        <f>G53</f>
        <v>FY2031</v>
      </c>
      <c r="H61" s="46" t="str">
        <f>H53</f>
        <v>FY2032</v>
      </c>
      <c r="I61" s="46" t="str">
        <f>I53</f>
        <v>FY2033</v>
      </c>
    </row>
    <row r="62" spans="1:9" x14ac:dyDescent="0.25">
      <c r="A62" s="46" t="s">
        <v>4</v>
      </c>
      <c r="B62" s="63">
        <f>B57</f>
        <v>72723.45</v>
      </c>
      <c r="C62" s="63">
        <f>C57</f>
        <v>94773.146999999983</v>
      </c>
      <c r="D62" s="63">
        <f>D57</f>
        <v>122681.42922000001</v>
      </c>
      <c r="E62" s="63">
        <f>E57</f>
        <v>157976.55537720001</v>
      </c>
      <c r="F62" s="63">
        <f>F57</f>
        <v>202584.33251767198</v>
      </c>
      <c r="G62" s="63">
        <f>G57</f>
        <v>258931.4866243627</v>
      </c>
      <c r="H62" s="63">
        <f>H57</f>
        <v>330075.9099048769</v>
      </c>
      <c r="I62" s="63">
        <f>I57</f>
        <v>419870.77270865196</v>
      </c>
    </row>
    <row r="64" spans="1:9" x14ac:dyDescent="0.25">
      <c r="A64" s="46" t="s">
        <v>67</v>
      </c>
      <c r="B64" s="46" t="str">
        <f>B53</f>
        <v>FY2026</v>
      </c>
      <c r="C64" s="46" t="str">
        <f>C53</f>
        <v>FY2027</v>
      </c>
      <c r="D64" s="46" t="str">
        <f>D53</f>
        <v>FY2028</v>
      </c>
      <c r="E64" s="46" t="str">
        <f>E53</f>
        <v>FY2029</v>
      </c>
      <c r="F64" s="46" t="str">
        <f>F53</f>
        <v>FY2030</v>
      </c>
      <c r="G64" s="46" t="str">
        <f>G53</f>
        <v>FY2031</v>
      </c>
      <c r="H64" s="46" t="str">
        <f>H53</f>
        <v>FY2032</v>
      </c>
      <c r="I64" s="46" t="str">
        <f>I53</f>
        <v>FY2033</v>
      </c>
    </row>
    <row r="65" spans="1:9" x14ac:dyDescent="0.25">
      <c r="A65" s="46" t="s">
        <v>5</v>
      </c>
      <c r="B65" s="48">
        <f>B58</f>
        <v>0.60391504733432977</v>
      </c>
      <c r="C65" s="48">
        <f>C58</f>
        <v>0.62462035652992298</v>
      </c>
      <c r="D65" s="48">
        <f>D58</f>
        <v>0.64171045300882534</v>
      </c>
      <c r="E65" s="48">
        <f>E58</f>
        <v>0.65581656438823677</v>
      </c>
      <c r="F65" s="48">
        <f>F58</f>
        <v>0.66745970393949705</v>
      </c>
      <c r="G65" s="48">
        <f>G58</f>
        <v>0.67706991436275943</v>
      </c>
      <c r="H65" s="48">
        <f>H58</f>
        <v>0.68500215153751576</v>
      </c>
      <c r="I65" s="48">
        <f>I58</f>
        <v>0.69154939491985423</v>
      </c>
    </row>
    <row r="66" spans="1:9" x14ac:dyDescent="0.25">
      <c r="A66" s="46" t="s">
        <v>71</v>
      </c>
      <c r="B66" s="48">
        <f>B59</f>
        <v>0.72045341305430988</v>
      </c>
      <c r="C66" s="48">
        <f>C59</f>
        <v>0.74307265839403347</v>
      </c>
      <c r="D66" s="48">
        <f>D59</f>
        <v>0.76174251169031348</v>
      </c>
      <c r="E66" s="48">
        <f>E59</f>
        <v>0.7771525493316872</v>
      </c>
      <c r="F66" s="48">
        <f>F59</f>
        <v>0.78987194548012285</v>
      </c>
      <c r="G66" s="48">
        <f>G59</f>
        <v>0.80037049468200605</v>
      </c>
      <c r="H66" s="48">
        <f>H59</f>
        <v>0.80903596386451293</v>
      </c>
      <c r="I66" s="48">
        <f>I59</f>
        <v>0.81618841461832814</v>
      </c>
    </row>
    <row r="68" spans="1:9" x14ac:dyDescent="0.25">
      <c r="A68" s="46" t="s">
        <v>72</v>
      </c>
      <c r="B68" s="46"/>
    </row>
    <row r="69" spans="1:9" x14ac:dyDescent="0.25">
      <c r="A69" s="46" t="s">
        <v>73</v>
      </c>
      <c r="B69" s="63">
        <f>-I36</f>
        <v>60714.502216766756</v>
      </c>
    </row>
    <row r="70" spans="1:9" x14ac:dyDescent="0.25">
      <c r="A70" s="46" t="s">
        <v>74</v>
      </c>
      <c r="B70" s="63">
        <f>-I37</f>
        <v>30357.251108383378</v>
      </c>
    </row>
    <row r="71" spans="1:9" x14ac:dyDescent="0.25">
      <c r="A71" s="46" t="s">
        <v>75</v>
      </c>
      <c r="B71" s="63">
        <f>-I38</f>
        <v>3158.2362701660163</v>
      </c>
    </row>
    <row r="72" spans="1:9" x14ac:dyDescent="0.25">
      <c r="A72" s="46" t="s">
        <v>76</v>
      </c>
      <c r="B72" s="63">
        <f>-I39</f>
        <v>12632.945080664065</v>
      </c>
    </row>
    <row r="73" spans="1:9" x14ac:dyDescent="0.25">
      <c r="A73" s="46" t="s">
        <v>77</v>
      </c>
      <c r="B73" s="63">
        <f>-I40</f>
        <v>4737.3544052490261</v>
      </c>
    </row>
    <row r="74" spans="1:9" x14ac:dyDescent="0.25">
      <c r="A74" s="46" t="s">
        <v>78</v>
      </c>
      <c r="B74" s="63">
        <f>-I43</f>
        <v>1579.1181350830082</v>
      </c>
    </row>
  </sheetData>
  <mergeCells count="10">
    <mergeCell ref="B5:C5"/>
    <mergeCell ref="D5:E5"/>
    <mergeCell ref="F5:G5"/>
    <mergeCell ref="H5:I5"/>
    <mergeCell ref="A1:J1"/>
    <mergeCell ref="A2:J2"/>
    <mergeCell ref="B4:C4"/>
    <mergeCell ref="D4:E4"/>
    <mergeCell ref="F4:G4"/>
    <mergeCell ref="H4:I4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Raza</cp:lastModifiedBy>
  <dcterms:created xsi:type="dcterms:W3CDTF">2026-05-10T10:23:56Z</dcterms:created>
  <dcterms:modified xsi:type="dcterms:W3CDTF">2026-05-14T10:44:28Z</dcterms:modified>
</cp:coreProperties>
</file>