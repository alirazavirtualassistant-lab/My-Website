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website\spreadsheets\"/>
    </mc:Choice>
  </mc:AlternateContent>
  <xr:revisionPtr revIDLastSave="0" documentId="13_ncr:1_{9477E288-FA2C-42D3-9EBB-DAD38E901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ta" sheetId="2" r:id="rId2"/>
    <sheet name="Regions" sheetId="3" r:id="rId3"/>
    <sheet name="Products" sheetId="4" r:id="rId4"/>
    <sheet name="Re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K9" i="1"/>
  <c r="H9" i="1"/>
  <c r="E9" i="1"/>
  <c r="B9" i="1"/>
  <c r="Q41" i="1"/>
  <c r="P41" i="1"/>
  <c r="O41" i="1"/>
  <c r="N41" i="1"/>
  <c r="M41" i="1"/>
  <c r="L41" i="1"/>
  <c r="Q40" i="1"/>
  <c r="P40" i="1"/>
  <c r="O40" i="1"/>
  <c r="N40" i="1"/>
  <c r="M40" i="1"/>
  <c r="L40" i="1"/>
  <c r="Q39" i="1"/>
  <c r="P39" i="1"/>
  <c r="O39" i="1"/>
  <c r="N39" i="1"/>
  <c r="M39" i="1"/>
  <c r="L39" i="1"/>
  <c r="Q38" i="1"/>
  <c r="P38" i="1"/>
  <c r="O38" i="1"/>
  <c r="N38" i="1"/>
  <c r="M38" i="1"/>
  <c r="L38" i="1"/>
  <c r="Q37" i="1"/>
  <c r="P37" i="1"/>
  <c r="O37" i="1"/>
  <c r="N37" i="1"/>
  <c r="M37" i="1"/>
  <c r="L37" i="1"/>
  <c r="Q36" i="1"/>
  <c r="P36" i="1"/>
  <c r="O36" i="1"/>
  <c r="N36" i="1"/>
  <c r="M36" i="1"/>
  <c r="L36" i="1"/>
  <c r="Q35" i="1"/>
  <c r="P35" i="1"/>
  <c r="O35" i="1"/>
  <c r="N35" i="1"/>
  <c r="M35" i="1"/>
  <c r="L35" i="1"/>
  <c r="Q34" i="1"/>
  <c r="P34" i="1"/>
  <c r="O34" i="1"/>
  <c r="N34" i="1"/>
  <c r="M34" i="1"/>
  <c r="L34" i="1"/>
  <c r="Q33" i="1"/>
  <c r="P33" i="1"/>
  <c r="O33" i="1"/>
  <c r="N33" i="1"/>
  <c r="M33" i="1"/>
  <c r="L33" i="1"/>
  <c r="Q32" i="1"/>
  <c r="P32" i="1"/>
  <c r="O32" i="1"/>
  <c r="N32" i="1"/>
  <c r="M32" i="1"/>
  <c r="L32" i="1"/>
  <c r="Q24" i="1"/>
  <c r="P24" i="1"/>
  <c r="O24" i="1"/>
  <c r="N24" i="1"/>
  <c r="M24" i="1"/>
  <c r="L24" i="1"/>
  <c r="K24" i="1"/>
  <c r="Q23" i="1"/>
  <c r="P23" i="1"/>
  <c r="O23" i="1"/>
  <c r="N23" i="1"/>
  <c r="M23" i="1"/>
  <c r="L23" i="1"/>
  <c r="K23" i="1"/>
  <c r="Q22" i="1"/>
  <c r="P22" i="1"/>
  <c r="O22" i="1"/>
  <c r="N22" i="1"/>
  <c r="M22" i="1"/>
  <c r="L22" i="1"/>
  <c r="K22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Q18" i="1"/>
  <c r="P18" i="1"/>
  <c r="O18" i="1"/>
  <c r="N18" i="1"/>
  <c r="M18" i="1"/>
  <c r="L18" i="1"/>
  <c r="K18" i="1"/>
  <c r="Q17" i="1"/>
  <c r="P17" i="1"/>
  <c r="O17" i="1"/>
  <c r="N17" i="1"/>
  <c r="M17" i="1"/>
  <c r="L17" i="1"/>
  <c r="K17" i="1"/>
  <c r="Q16" i="1"/>
  <c r="P16" i="1"/>
  <c r="O16" i="1"/>
  <c r="N16" i="1"/>
  <c r="M16" i="1"/>
  <c r="L16" i="1"/>
  <c r="K16" i="1"/>
  <c r="Q15" i="1"/>
  <c r="P15" i="1"/>
  <c r="O15" i="1"/>
  <c r="N15" i="1"/>
  <c r="M15" i="1"/>
  <c r="L15" i="1"/>
  <c r="K15" i="1"/>
  <c r="Q14" i="1"/>
  <c r="P14" i="1"/>
  <c r="O14" i="1"/>
  <c r="N14" i="1"/>
  <c r="M14" i="1"/>
  <c r="L14" i="1"/>
  <c r="K14" i="1"/>
  <c r="Q13" i="1"/>
  <c r="P13" i="1"/>
  <c r="O13" i="1"/>
  <c r="N13" i="1"/>
  <c r="M13" i="1"/>
  <c r="L13" i="1"/>
  <c r="K13" i="1"/>
  <c r="N7" i="1"/>
  <c r="Q9" i="1"/>
  <c r="Q7" i="1"/>
  <c r="K7" i="1"/>
  <c r="H7" i="1"/>
  <c r="E7" i="1"/>
  <c r="B7" i="1"/>
  <c r="Q2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</calcChain>
</file>

<file path=xl/sharedStrings.xml><?xml version="1.0" encoding="utf-8"?>
<sst xmlns="http://schemas.openxmlformats.org/spreadsheetml/2006/main" count="84" uniqueCount="62">
  <si>
    <t>Month</t>
  </si>
  <si>
    <t>Revenue</t>
  </si>
  <si>
    <t>Target</t>
  </si>
  <si>
    <t>Variance</t>
  </si>
  <si>
    <t>Var %</t>
  </si>
  <si>
    <t>Region</t>
  </si>
  <si>
    <t>Reps</t>
  </si>
  <si>
    <t>North America</t>
  </si>
  <si>
    <t>South America</t>
  </si>
  <si>
    <t>EMEA - West</t>
  </si>
  <si>
    <t>EMEA - East</t>
  </si>
  <si>
    <t>APAC - North</t>
  </si>
  <si>
    <t>APAC - South</t>
  </si>
  <si>
    <t>Middle East</t>
  </si>
  <si>
    <t>Africa</t>
  </si>
  <si>
    <t>COGS</t>
  </si>
  <si>
    <t>Gross Profit</t>
  </si>
  <si>
    <t>Product</t>
  </si>
  <si>
    <t>Units Sold</t>
  </si>
  <si>
    <t>Margin %</t>
  </si>
  <si>
    <t>Atlas Pro CRM</t>
  </si>
  <si>
    <t>Helix Analytics</t>
  </si>
  <si>
    <t>Nimbus Cloud Suite</t>
  </si>
  <si>
    <t>Orion Security</t>
  </si>
  <si>
    <t>Quasar BI</t>
  </si>
  <si>
    <t>Vertex API Gateway</t>
  </si>
  <si>
    <t>Polaris Workflow</t>
  </si>
  <si>
    <t>Cobalt Forms</t>
  </si>
  <si>
    <t>Falcon Insights</t>
  </si>
  <si>
    <t>Echo Messenger</t>
  </si>
  <si>
    <t>Sales Rep</t>
  </si>
  <si>
    <t>Deals Closed</t>
  </si>
  <si>
    <t>Quota Attainment</t>
  </si>
  <si>
    <t>Ayesha Khan</t>
  </si>
  <si>
    <t>Marcus Chen</t>
  </si>
  <si>
    <t>Sofia Rodriguez</t>
  </si>
  <si>
    <t>Daniel Okafor</t>
  </si>
  <si>
    <t>Priya Sharma</t>
  </si>
  <si>
    <t>Liam O'Connor</t>
  </si>
  <si>
    <t>Hana Tanaka</t>
  </si>
  <si>
    <t>Carlos Mendoza</t>
  </si>
  <si>
    <t>Zara Ahmed</t>
  </si>
  <si>
    <t>Ethan Walker</t>
  </si>
  <si>
    <t>SALES PERFORMANCE DASHBOARD</t>
  </si>
  <si>
    <t>FY 2024–2025  •  24 months  •  8 regions  •  10 products  •  10 reps</t>
  </si>
  <si>
    <t>Auto-refreshing from Data / Regions / Products / Reps</t>
  </si>
  <si>
    <t>TOTAL REVENUE</t>
  </si>
  <si>
    <t>VS TARGET</t>
  </si>
  <si>
    <t>GROSS MARGIN</t>
  </si>
  <si>
    <t>YoY GROWTH</t>
  </si>
  <si>
    <t>BEST MONTH</t>
  </si>
  <si>
    <t>REPS OVER QUOTA</t>
  </si>
  <si>
    <t>REVENUE TREND  —  24 MONTHS</t>
  </si>
  <si>
    <t>MONTHLY PERFORMANCE DETAIL</t>
  </si>
  <si>
    <t>TOP PRODUCTS BY REVENUE</t>
  </si>
  <si>
    <t>SALES REP LEADERBOARD</t>
  </si>
  <si>
    <t>Margin</t>
  </si>
  <si>
    <t>Status</t>
  </si>
  <si>
    <t>Rank</t>
  </si>
  <si>
    <t>Deals</t>
  </si>
  <si>
    <t>Quota</t>
  </si>
  <si>
    <t>REGIONAL PERFORMANCE  —  REVENUE vs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</si>
</sst>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69" formatCode="\+0.0%;\-0.0%;0.0%"/>
    <numFmt numFmtId="170" formatCode="[$$-409]#,##0"/>
  </numFmts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sz val="11"/>
      <color rgb="FFE5E7EB"/>
      <name val="Calibri"/>
      <scheme val="minor"/>
    </font>
    <font>
      <b/>
      <sz val="26"/>
      <color rgb="FFFFFFFF"/>
      <name val="Calibri"/>
      <scheme val="minor"/>
    </font>
    <font>
      <sz val="11"/>
      <color rgb="FF9CA3AF"/>
      <name val="Calibri"/>
      <scheme val="minor"/>
    </font>
    <font>
      <i/>
      <sz val="11"/>
      <color rgb="FF9CA3AF"/>
      <name val="Calibri"/>
      <scheme val="minor"/>
    </font>
    <font>
      <i/>
      <sz val="9"/>
      <color rgb="FF6B7280"/>
      <name val="Calibri"/>
      <scheme val="minor"/>
    </font>
    <font>
      <b/>
      <sz val="12"/>
      <color rgb="FFFFFFFF"/>
      <name val="Calibri"/>
      <scheme val="minor"/>
    </font>
    <font>
      <b/>
      <sz val="11"/>
      <color rgb="FF9CA3AF"/>
      <name val="Calibri"/>
      <scheme val="minor"/>
    </font>
    <font>
      <b/>
      <sz val="10"/>
      <color rgb="FF9CA3AF"/>
      <name val="Calibri"/>
      <scheme val="minor"/>
    </font>
    <font>
      <sz val="11"/>
      <color rgb="FF34D399"/>
      <name val="Calibri"/>
      <scheme val="minor"/>
    </font>
    <font>
      <b/>
      <sz val="11"/>
      <color rgb="FF34D399"/>
      <name val="Calibri"/>
      <scheme val="minor"/>
    </font>
    <font>
      <sz val="11"/>
      <color rgb="FFF87171"/>
      <name val="Calibri"/>
      <scheme val="minor"/>
    </font>
    <font>
      <b/>
      <sz val="11"/>
      <color rgb="FFF8717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22"/>
      <color rgb="FFFFFFFF"/>
      <name val="Calibri"/>
      <scheme val="minor"/>
    </font>
    <font>
      <b/>
      <sz val="22"/>
      <color rgb="FF34D399"/>
      <name val="Calibri"/>
      <scheme val="minor"/>
    </font>
    <font>
      <b/>
      <sz val="22"/>
      <color rgb="FFFBBF24"/>
      <name val="Calibri"/>
      <scheme val="minor"/>
    </font>
    <font>
      <sz val="10"/>
      <color rgb="FF22D3EE"/>
      <name val="Calibri"/>
      <scheme val="minor"/>
    </font>
    <font>
      <sz val="10"/>
      <color rgb="FF34D399"/>
      <name val="Calibri"/>
      <scheme val="minor"/>
    </font>
    <font>
      <sz val="10"/>
      <color rgb="FFA78BFA"/>
      <name val="Calibri"/>
      <scheme val="minor"/>
    </font>
    <font>
      <sz val="10"/>
      <color rgb="FFFBBF24"/>
      <name val="Calibri"/>
      <scheme val="minor"/>
    </font>
    <font>
      <sz val="10"/>
      <color rgb="FFF472B6"/>
      <name val="Calibri"/>
      <scheme val="minor"/>
    </font>
    <font>
      <sz val="10"/>
      <color rgb="FF60A5FA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B2E"/>
        <bgColor indexed="64"/>
      </patternFill>
    </fill>
    <fill>
      <patternFill patternType="solid">
        <fgColor rgb="FF0B1220"/>
        <bgColor indexed="64"/>
      </patternFill>
    </fill>
    <fill>
      <patternFill patternType="solid">
        <fgColor rgb="FF111C2E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131F33"/>
        <bgColor indexed="64"/>
      </patternFill>
    </fill>
  </fills>
  <borders count="22">
    <border>
      <left/>
      <right/>
      <top/>
      <bottom/>
      <diagonal/>
    </border>
    <border>
      <left/>
      <right/>
      <top style="thick">
        <color rgb="FF22D3EE"/>
      </top>
      <bottom/>
      <diagonal/>
    </border>
    <border>
      <left/>
      <right/>
      <top/>
      <bottom style="thin">
        <color rgb="FF1F2937"/>
      </bottom>
      <diagonal/>
    </border>
    <border>
      <left style="thin">
        <color rgb="FF1F2937"/>
      </left>
      <right/>
      <top style="thick">
        <color rgb="FF22D3EE"/>
      </top>
      <bottom/>
      <diagonal/>
    </border>
    <border>
      <left style="thin">
        <color rgb="FF1F2937"/>
      </left>
      <right/>
      <top/>
      <bottom/>
      <diagonal/>
    </border>
    <border>
      <left style="thin">
        <color rgb="FF1F2937"/>
      </left>
      <right/>
      <top/>
      <bottom style="thin">
        <color rgb="FF1F2937"/>
      </bottom>
      <diagonal/>
    </border>
    <border>
      <left/>
      <right style="thin">
        <color rgb="FF1F2937"/>
      </right>
      <top/>
      <bottom/>
      <diagonal/>
    </border>
    <border>
      <left/>
      <right style="thin">
        <color rgb="FF1F2937"/>
      </right>
      <top/>
      <bottom style="thin">
        <color rgb="FF1F2937"/>
      </bottom>
      <diagonal/>
    </border>
    <border>
      <left style="thin">
        <color rgb="FF1F2937"/>
      </left>
      <right/>
      <top style="thick">
        <color rgb="FF34D399"/>
      </top>
      <bottom/>
      <diagonal/>
    </border>
    <border>
      <left/>
      <right/>
      <top style="thick">
        <color rgb="FF34D399"/>
      </top>
      <bottom/>
      <diagonal/>
    </border>
    <border>
      <left style="thin">
        <color rgb="FF1F2937"/>
      </left>
      <right/>
      <top style="thick">
        <color rgb="FFA78BFA"/>
      </top>
      <bottom/>
      <diagonal/>
    </border>
    <border>
      <left/>
      <right/>
      <top style="thick">
        <color rgb="FFA78BFA"/>
      </top>
      <bottom/>
      <diagonal/>
    </border>
    <border>
      <left style="thin">
        <color rgb="FF1F2937"/>
      </left>
      <right/>
      <top style="thick">
        <color rgb="FFFBBF24"/>
      </top>
      <bottom/>
      <diagonal/>
    </border>
    <border>
      <left/>
      <right/>
      <top style="thick">
        <color rgb="FFFBBF24"/>
      </top>
      <bottom/>
      <diagonal/>
    </border>
    <border>
      <left style="thin">
        <color rgb="FF1F2937"/>
      </left>
      <right/>
      <top style="thick">
        <color rgb="FFF472B6"/>
      </top>
      <bottom/>
      <diagonal/>
    </border>
    <border>
      <left/>
      <right/>
      <top style="thick">
        <color rgb="FFF472B6"/>
      </top>
      <bottom/>
      <diagonal/>
    </border>
    <border>
      <left style="thin">
        <color rgb="FF1F2937"/>
      </left>
      <right/>
      <top style="thick">
        <color rgb="FF60A5FA"/>
      </top>
      <bottom/>
      <diagonal/>
    </border>
    <border>
      <left/>
      <right/>
      <top style="thick">
        <color rgb="FF60A5FA"/>
      </top>
      <bottom/>
      <diagonal/>
    </border>
    <border>
      <left/>
      <right style="thin">
        <color rgb="FF1F2937"/>
      </right>
      <top style="thick">
        <color rgb="FF60A5FA"/>
      </top>
      <bottom/>
      <diagonal/>
    </border>
    <border>
      <left/>
      <right/>
      <top style="thin">
        <color rgb="FF374151"/>
      </top>
      <bottom style="thin">
        <color rgb="FF1F2937"/>
      </bottom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/>
      <top style="thin">
        <color rgb="FF1F2937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 applyAlignment="1">
      <alignment horizontal="center"/>
    </xf>
    <xf numFmtId="168" fontId="0" fillId="0" borderId="0" xfId="0" applyNumberFormat="1"/>
    <xf numFmtId="3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6" fillId="3" borderId="0" xfId="0" applyFont="1" applyFill="1"/>
    <xf numFmtId="0" fontId="5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17" fontId="2" fillId="0" borderId="0" xfId="0" applyNumberFormat="1" applyFont="1"/>
    <xf numFmtId="0" fontId="8" fillId="3" borderId="0" xfId="0" applyFont="1" applyFill="1"/>
    <xf numFmtId="0" fontId="10" fillId="5" borderId="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left"/>
    </xf>
    <xf numFmtId="168" fontId="3" fillId="2" borderId="19" xfId="0" applyNumberFormat="1" applyFont="1" applyFill="1" applyBorder="1" applyAlignment="1">
      <alignment horizontal="right"/>
    </xf>
    <xf numFmtId="0" fontId="3" fillId="6" borderId="20" xfId="0" applyFont="1" applyFill="1" applyBorder="1" applyAlignment="1">
      <alignment horizontal="left"/>
    </xf>
    <xf numFmtId="168" fontId="3" fillId="6" borderId="20" xfId="0" applyNumberFormat="1" applyFont="1" applyFill="1" applyBorder="1" applyAlignment="1">
      <alignment horizontal="right"/>
    </xf>
    <xf numFmtId="0" fontId="3" fillId="2" borderId="20" xfId="0" applyFont="1" applyFill="1" applyBorder="1" applyAlignment="1">
      <alignment horizontal="left"/>
    </xf>
    <xf numFmtId="168" fontId="3" fillId="2" borderId="20" xfId="0" applyNumberFormat="1" applyFont="1" applyFill="1" applyBorder="1" applyAlignment="1">
      <alignment horizontal="right"/>
    </xf>
    <xf numFmtId="0" fontId="3" fillId="6" borderId="21" xfId="0" applyFont="1" applyFill="1" applyBorder="1" applyAlignment="1">
      <alignment horizontal="left"/>
    </xf>
    <xf numFmtId="168" fontId="3" fillId="6" borderId="21" xfId="0" applyNumberFormat="1" applyFont="1" applyFill="1" applyBorder="1" applyAlignment="1">
      <alignment horizontal="right"/>
    </xf>
    <xf numFmtId="168" fontId="11" fillId="2" borderId="19" xfId="0" applyNumberFormat="1" applyFont="1" applyFill="1" applyBorder="1" applyAlignment="1">
      <alignment horizontal="right"/>
    </xf>
    <xf numFmtId="0" fontId="12" fillId="2" borderId="19" xfId="0" applyFont="1" applyFill="1" applyBorder="1" applyAlignment="1">
      <alignment horizontal="center"/>
    </xf>
    <xf numFmtId="168" fontId="13" fillId="6" borderId="20" xfId="0" applyNumberFormat="1" applyFont="1" applyFill="1" applyBorder="1" applyAlignment="1">
      <alignment horizontal="right"/>
    </xf>
    <xf numFmtId="0" fontId="14" fillId="6" borderId="20" xfId="0" applyFont="1" applyFill="1" applyBorder="1" applyAlignment="1">
      <alignment horizontal="center"/>
    </xf>
    <xf numFmtId="168" fontId="13" fillId="2" borderId="20" xfId="0" applyNumberFormat="1" applyFont="1" applyFill="1" applyBorder="1" applyAlignment="1">
      <alignment horizontal="right"/>
    </xf>
    <xf numFmtId="0" fontId="14" fillId="2" borderId="20" xfId="0" applyFont="1" applyFill="1" applyBorder="1" applyAlignment="1">
      <alignment horizontal="center"/>
    </xf>
    <xf numFmtId="168" fontId="11" fillId="6" borderId="20" xfId="0" applyNumberFormat="1" applyFont="1" applyFill="1" applyBorder="1" applyAlignment="1">
      <alignment horizontal="right"/>
    </xf>
    <xf numFmtId="0" fontId="12" fillId="6" borderId="20" xfId="0" applyFont="1" applyFill="1" applyBorder="1" applyAlignment="1">
      <alignment horizontal="center"/>
    </xf>
    <xf numFmtId="168" fontId="11" fillId="2" borderId="20" xfId="0" applyNumberFormat="1" applyFont="1" applyFill="1" applyBorder="1" applyAlignment="1">
      <alignment horizontal="right"/>
    </xf>
    <xf numFmtId="0" fontId="12" fillId="2" borderId="20" xfId="0" applyFont="1" applyFill="1" applyBorder="1" applyAlignment="1">
      <alignment horizontal="center"/>
    </xf>
    <xf numFmtId="168" fontId="11" fillId="6" borderId="21" xfId="0" applyNumberFormat="1" applyFont="1" applyFill="1" applyBorder="1" applyAlignment="1">
      <alignment horizontal="right"/>
    </xf>
    <xf numFmtId="0" fontId="12" fillId="6" borderId="21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15" fillId="2" borderId="19" xfId="0" applyFont="1" applyFill="1" applyBorder="1"/>
    <xf numFmtId="0" fontId="3" fillId="2" borderId="19" xfId="0" applyFont="1" applyFill="1" applyBorder="1"/>
    <xf numFmtId="3" fontId="3" fillId="2" borderId="19" xfId="0" applyNumberFormat="1" applyFont="1" applyFill="1" applyBorder="1" applyAlignment="1">
      <alignment horizontal="right"/>
    </xf>
    <xf numFmtId="0" fontId="9" fillId="6" borderId="20" xfId="0" applyFont="1" applyFill="1" applyBorder="1" applyAlignment="1">
      <alignment horizontal="center"/>
    </xf>
    <xf numFmtId="0" fontId="15" fillId="6" borderId="20" xfId="0" applyFont="1" applyFill="1" applyBorder="1"/>
    <xf numFmtId="0" fontId="3" fillId="6" borderId="20" xfId="0" applyFont="1" applyFill="1" applyBorder="1"/>
    <xf numFmtId="3" fontId="3" fillId="6" borderId="20" xfId="0" applyNumberFormat="1" applyFont="1" applyFill="1" applyBorder="1" applyAlignment="1">
      <alignment horizontal="right"/>
    </xf>
    <xf numFmtId="0" fontId="9" fillId="2" borderId="20" xfId="0" applyFont="1" applyFill="1" applyBorder="1" applyAlignment="1">
      <alignment horizontal="center"/>
    </xf>
    <xf numFmtId="0" fontId="15" fillId="2" borderId="20" xfId="0" applyFont="1" applyFill="1" applyBorder="1"/>
    <xf numFmtId="0" fontId="3" fillId="2" borderId="20" xfId="0" applyFont="1" applyFill="1" applyBorder="1"/>
    <xf numFmtId="3" fontId="3" fillId="2" borderId="20" xfId="0" applyNumberFormat="1" applyFont="1" applyFill="1" applyBorder="1" applyAlignment="1">
      <alignment horizontal="right"/>
    </xf>
    <xf numFmtId="0" fontId="9" fillId="6" borderId="21" xfId="0" applyFont="1" applyFill="1" applyBorder="1" applyAlignment="1">
      <alignment horizontal="center"/>
    </xf>
    <xf numFmtId="0" fontId="15" fillId="6" borderId="21" xfId="0" applyFont="1" applyFill="1" applyBorder="1"/>
    <xf numFmtId="0" fontId="3" fillId="6" borderId="21" xfId="0" applyFont="1" applyFill="1" applyBorder="1"/>
    <xf numFmtId="3" fontId="3" fillId="6" borderId="21" xfId="0" applyNumberFormat="1" applyFont="1" applyFill="1" applyBorder="1" applyAlignment="1">
      <alignment horizontal="right"/>
    </xf>
    <xf numFmtId="168" fontId="13" fillId="6" borderId="21" xfId="0" applyNumberFormat="1" applyFont="1" applyFill="1" applyBorder="1" applyAlignment="1">
      <alignment horizontal="right"/>
    </xf>
    <xf numFmtId="0" fontId="14" fillId="6" borderId="21" xfId="0" applyFont="1" applyFill="1" applyBorder="1" applyAlignment="1">
      <alignment horizontal="center"/>
    </xf>
    <xf numFmtId="0" fontId="16" fillId="3" borderId="0" xfId="0" applyFont="1" applyFill="1"/>
    <xf numFmtId="0" fontId="16" fillId="4" borderId="3" xfId="0" applyFont="1" applyFill="1" applyBorder="1"/>
    <xf numFmtId="0" fontId="16" fillId="4" borderId="1" xfId="0" applyFont="1" applyFill="1" applyBorder="1"/>
    <xf numFmtId="0" fontId="10" fillId="4" borderId="4" xfId="0" applyFont="1" applyFill="1" applyBorder="1" applyAlignment="1">
      <alignment horizontal="left"/>
    </xf>
    <xf numFmtId="0" fontId="16" fillId="4" borderId="0" xfId="0" applyFont="1" applyFill="1"/>
    <xf numFmtId="0" fontId="16" fillId="4" borderId="0" xfId="0" applyFont="1" applyFill="1" applyBorder="1"/>
    <xf numFmtId="0" fontId="16" fillId="4" borderId="4" xfId="0" applyFont="1" applyFill="1" applyBorder="1"/>
    <xf numFmtId="0" fontId="20" fillId="4" borderId="5" xfId="0" applyFont="1" applyFill="1" applyBorder="1" applyAlignment="1">
      <alignment horizontal="left"/>
    </xf>
    <xf numFmtId="0" fontId="16" fillId="4" borderId="2" xfId="0" applyFont="1" applyFill="1" applyBorder="1"/>
    <xf numFmtId="0" fontId="16" fillId="4" borderId="8" xfId="0" applyFont="1" applyFill="1" applyBorder="1"/>
    <xf numFmtId="0" fontId="16" fillId="4" borderId="9" xfId="0" applyFont="1" applyFill="1" applyBorder="1"/>
    <xf numFmtId="169" fontId="18" fillId="4" borderId="4" xfId="0" applyNumberFormat="1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0" fontId="16" fillId="4" borderId="10" xfId="0" applyFont="1" applyFill="1" applyBorder="1"/>
    <xf numFmtId="0" fontId="16" fillId="4" borderId="11" xfId="0" applyFont="1" applyFill="1" applyBorder="1"/>
    <xf numFmtId="168" fontId="17" fillId="4" borderId="4" xfId="0" applyNumberFormat="1" applyFont="1" applyFill="1" applyBorder="1" applyAlignment="1">
      <alignment horizontal="left"/>
    </xf>
    <xf numFmtId="0" fontId="22" fillId="4" borderId="5" xfId="0" applyFont="1" applyFill="1" applyBorder="1" applyAlignment="1">
      <alignment horizontal="left"/>
    </xf>
    <xf numFmtId="0" fontId="16" fillId="4" borderId="12" xfId="0" applyFont="1" applyFill="1" applyBorder="1"/>
    <xf numFmtId="0" fontId="16" fillId="4" borderId="13" xfId="0" applyFont="1" applyFill="1" applyBorder="1"/>
    <xf numFmtId="169" fontId="19" fillId="4" borderId="4" xfId="0" applyNumberFormat="1" applyFont="1" applyFill="1" applyBorder="1" applyAlignment="1">
      <alignment horizontal="left"/>
    </xf>
    <xf numFmtId="0" fontId="23" fillId="4" borderId="5" xfId="0" applyFont="1" applyFill="1" applyBorder="1" applyAlignment="1">
      <alignment horizontal="left"/>
    </xf>
    <xf numFmtId="0" fontId="16" fillId="4" borderId="14" xfId="0" applyFont="1" applyFill="1" applyBorder="1"/>
    <xf numFmtId="0" fontId="16" fillId="4" borderId="15" xfId="0" applyFont="1" applyFill="1" applyBorder="1"/>
    <xf numFmtId="0" fontId="17" fillId="4" borderId="4" xfId="0" applyFont="1" applyFill="1" applyBorder="1" applyAlignment="1">
      <alignment horizontal="left"/>
    </xf>
    <xf numFmtId="0" fontId="24" fillId="4" borderId="5" xfId="0" applyFont="1" applyFill="1" applyBorder="1" applyAlignment="1">
      <alignment horizontal="left"/>
    </xf>
    <xf numFmtId="0" fontId="16" fillId="4" borderId="16" xfId="0" applyFont="1" applyFill="1" applyBorder="1"/>
    <xf numFmtId="0" fontId="16" fillId="4" borderId="17" xfId="0" applyFont="1" applyFill="1" applyBorder="1"/>
    <xf numFmtId="0" fontId="16" fillId="4" borderId="18" xfId="0" applyFont="1" applyFill="1" applyBorder="1"/>
    <xf numFmtId="0" fontId="16" fillId="4" borderId="6" xfId="0" applyFont="1" applyFill="1" applyBorder="1"/>
    <xf numFmtId="0" fontId="25" fillId="4" borderId="5" xfId="0" applyFont="1" applyFill="1" applyBorder="1" applyAlignment="1">
      <alignment horizontal="left"/>
    </xf>
    <xf numFmtId="0" fontId="16" fillId="4" borderId="7" xfId="0" applyFont="1" applyFill="1" applyBorder="1"/>
    <xf numFmtId="170" fontId="17" fillId="4" borderId="4" xfId="0" applyNumberFormat="1" applyFont="1" applyFill="1" applyBorder="1" applyAlignment="1">
      <alignment horizontal="left"/>
    </xf>
    <xf numFmtId="170" fontId="3" fillId="2" borderId="19" xfId="0" applyNumberFormat="1" applyFont="1" applyFill="1" applyBorder="1" applyAlignment="1">
      <alignment horizontal="right"/>
    </xf>
    <xf numFmtId="170" fontId="11" fillId="2" borderId="19" xfId="0" applyNumberFormat="1" applyFont="1" applyFill="1" applyBorder="1" applyAlignment="1">
      <alignment horizontal="right"/>
    </xf>
    <xf numFmtId="170" fontId="3" fillId="6" borderId="20" xfId="0" applyNumberFormat="1" applyFont="1" applyFill="1" applyBorder="1" applyAlignment="1">
      <alignment horizontal="right"/>
    </xf>
    <xf numFmtId="170" fontId="13" fillId="6" borderId="20" xfId="0" applyNumberFormat="1" applyFont="1" applyFill="1" applyBorder="1" applyAlignment="1">
      <alignment horizontal="right"/>
    </xf>
    <xf numFmtId="170" fontId="3" fillId="2" borderId="20" xfId="0" applyNumberFormat="1" applyFont="1" applyFill="1" applyBorder="1" applyAlignment="1">
      <alignment horizontal="right"/>
    </xf>
    <xf numFmtId="170" fontId="13" fillId="2" borderId="20" xfId="0" applyNumberFormat="1" applyFont="1" applyFill="1" applyBorder="1" applyAlignment="1">
      <alignment horizontal="right"/>
    </xf>
    <xf numFmtId="170" fontId="11" fillId="6" borderId="20" xfId="0" applyNumberFormat="1" applyFont="1" applyFill="1" applyBorder="1" applyAlignment="1">
      <alignment horizontal="right"/>
    </xf>
    <xf numFmtId="170" fontId="11" fillId="2" borderId="20" xfId="0" applyNumberFormat="1" applyFont="1" applyFill="1" applyBorder="1" applyAlignment="1">
      <alignment horizontal="right"/>
    </xf>
    <xf numFmtId="170" fontId="3" fillId="6" borderId="21" xfId="0" applyNumberFormat="1" applyFont="1" applyFill="1" applyBorder="1" applyAlignment="1">
      <alignment horizontal="right"/>
    </xf>
    <xf numFmtId="170" fontId="11" fillId="6" borderId="21" xfId="0" applyNumberFormat="1" applyFont="1" applyFill="1" applyBorder="1" applyAlignment="1">
      <alignment horizontal="right"/>
    </xf>
    <xf numFmtId="170" fontId="2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vs Target — 24 Month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22D3E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Data!$B$2:$B$25</c:f>
              <c:numCache>
                <c:formatCode>[$$-409]#,##0</c:formatCode>
                <c:ptCount val="24"/>
                <c:pt idx="0">
                  <c:v>98500</c:v>
                </c:pt>
                <c:pt idx="1">
                  <c:v>84200</c:v>
                </c:pt>
                <c:pt idx="2">
                  <c:v>91300</c:v>
                </c:pt>
                <c:pt idx="3">
                  <c:v>105400</c:v>
                </c:pt>
                <c:pt idx="4">
                  <c:v>112800</c:v>
                </c:pt>
                <c:pt idx="5">
                  <c:v>118600</c:v>
                </c:pt>
                <c:pt idx="6">
                  <c:v>124300</c:v>
                </c:pt>
                <c:pt idx="7">
                  <c:v>119800</c:v>
                </c:pt>
                <c:pt idx="8">
                  <c:v>128400</c:v>
                </c:pt>
                <c:pt idx="9">
                  <c:v>132100</c:v>
                </c:pt>
                <c:pt idx="10">
                  <c:v>141500</c:v>
                </c:pt>
                <c:pt idx="11">
                  <c:v>156800</c:v>
                </c:pt>
                <c:pt idx="12">
                  <c:v>121905</c:v>
                </c:pt>
                <c:pt idx="13">
                  <c:v>89296</c:v>
                </c:pt>
                <c:pt idx="14">
                  <c:v>85639</c:v>
                </c:pt>
                <c:pt idx="15">
                  <c:v>134598</c:v>
                </c:pt>
                <c:pt idx="16">
                  <c:v>106024</c:v>
                </c:pt>
                <c:pt idx="17">
                  <c:v>106049</c:v>
                </c:pt>
                <c:pt idx="18">
                  <c:v>106628</c:v>
                </c:pt>
                <c:pt idx="19">
                  <c:v>103144</c:v>
                </c:pt>
                <c:pt idx="20">
                  <c:v>144265</c:v>
                </c:pt>
                <c:pt idx="21">
                  <c:v>104717</c:v>
                </c:pt>
                <c:pt idx="22">
                  <c:v>144348</c:v>
                </c:pt>
                <c:pt idx="23">
                  <c:v>150540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D-4A20-9CDB-B29DBD1CA692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BBF2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Data!$C$2:$C$25</c:f>
              <c:numCache>
                <c:formatCode>[$$-409]#,##0</c:formatCode>
                <c:ptCount val="24"/>
                <c:pt idx="0">
                  <c:v>90000</c:v>
                </c:pt>
                <c:pt idx="1">
                  <c:v>91500</c:v>
                </c:pt>
                <c:pt idx="2">
                  <c:v>93000</c:v>
                </c:pt>
                <c:pt idx="3">
                  <c:v>94500</c:v>
                </c:pt>
                <c:pt idx="4">
                  <c:v>96000</c:v>
                </c:pt>
                <c:pt idx="5">
                  <c:v>97500</c:v>
                </c:pt>
                <c:pt idx="6">
                  <c:v>99000</c:v>
                </c:pt>
                <c:pt idx="7">
                  <c:v>100500</c:v>
                </c:pt>
                <c:pt idx="8">
                  <c:v>102000</c:v>
                </c:pt>
                <c:pt idx="9">
                  <c:v>103500</c:v>
                </c:pt>
                <c:pt idx="10">
                  <c:v>105000</c:v>
                </c:pt>
                <c:pt idx="11">
                  <c:v>106500</c:v>
                </c:pt>
                <c:pt idx="12">
                  <c:v>108000</c:v>
                </c:pt>
                <c:pt idx="13">
                  <c:v>109500</c:v>
                </c:pt>
                <c:pt idx="14">
                  <c:v>111000</c:v>
                </c:pt>
                <c:pt idx="15">
                  <c:v>112500</c:v>
                </c:pt>
                <c:pt idx="16">
                  <c:v>114000</c:v>
                </c:pt>
                <c:pt idx="17">
                  <c:v>115500</c:v>
                </c:pt>
                <c:pt idx="18">
                  <c:v>117000</c:v>
                </c:pt>
                <c:pt idx="19">
                  <c:v>118500</c:v>
                </c:pt>
                <c:pt idx="20">
                  <c:v>120000</c:v>
                </c:pt>
                <c:pt idx="21">
                  <c:v>121500</c:v>
                </c:pt>
                <c:pt idx="22">
                  <c:v>123000</c:v>
                </c:pt>
                <c:pt idx="23">
                  <c:v>124500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7D-4A20-9CDB-B29DBD1CA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32448"/>
        <c:axId val="352833888"/>
      </c:lineChart>
      <c:dateAx>
        <c:axId val="352832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3AF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2833888"/>
        <c:crosses val="autoZero"/>
        <c:auto val="1"/>
        <c:lblOffset val="100"/>
        <c:baseTimeUnit val="months"/>
      </c:dateAx>
      <c:valAx>
        <c:axId val="3528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F2937"/>
              </a:solidFill>
              <a:prstDash val="solid"/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3AF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2832448"/>
        <c:crosses val="autoZero"/>
        <c:crossBetween val="between"/>
      </c:valAx>
      <c:spPr>
        <a:solidFill>
          <a:srgbClr val="111C2E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D1D5DB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C2E"/>
    </a:solidFill>
    <a:ln w="9525" cap="flat" cmpd="sng" algn="ctr">
      <a:solidFill>
        <a:srgbClr val="1F2937"/>
      </a:solidFill>
      <a:prstDash val="solid"/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Top Products — Units &amp;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Products!$B$1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A78BFA"/>
            </a:solidFill>
            <a:ln>
              <a:noFill/>
            </a:ln>
            <a:effectLst/>
          </c:spPr>
          <c:invertIfNegative val="0"/>
          <c:cat>
            <c:strRef>
              <c:f>Products!$A$2:$A$11</c:f>
              <c:strCache>
                <c:ptCount val="10"/>
                <c:pt idx="0">
                  <c:v>Atlas Pro CRM</c:v>
                </c:pt>
                <c:pt idx="1">
                  <c:v>Helix Analytics</c:v>
                </c:pt>
                <c:pt idx="2">
                  <c:v>Nimbus Cloud Suite</c:v>
                </c:pt>
                <c:pt idx="3">
                  <c:v>Orion Security</c:v>
                </c:pt>
                <c:pt idx="4">
                  <c:v>Quasar BI</c:v>
                </c:pt>
                <c:pt idx="5">
                  <c:v>Vertex API Gateway</c:v>
                </c:pt>
                <c:pt idx="6">
                  <c:v>Polaris Workflow</c:v>
                </c:pt>
                <c:pt idx="7">
                  <c:v>Cobalt Forms</c:v>
                </c:pt>
                <c:pt idx="8">
                  <c:v>Falcon Insights</c:v>
                </c:pt>
                <c:pt idx="9">
                  <c:v>Echo Messenger</c:v>
                </c:pt>
              </c:strCache>
            </c:strRef>
          </c:cat>
          <c:val>
            <c:numRef>
              <c:f>Products!$B$2:$B$11</c:f>
              <c:numCache>
                <c:formatCode>#,##0</c:formatCode>
                <c:ptCount val="10"/>
                <c:pt idx="0">
                  <c:v>4250</c:v>
                </c:pt>
                <c:pt idx="1">
                  <c:v>3180</c:v>
                </c:pt>
                <c:pt idx="2">
                  <c:v>2940</c:v>
                </c:pt>
                <c:pt idx="3">
                  <c:v>2615</c:v>
                </c:pt>
                <c:pt idx="4">
                  <c:v>2480</c:v>
                </c:pt>
                <c:pt idx="5">
                  <c:v>2105</c:v>
                </c:pt>
                <c:pt idx="6">
                  <c:v>1890</c:v>
                </c:pt>
                <c:pt idx="7">
                  <c:v>1560</c:v>
                </c:pt>
                <c:pt idx="8">
                  <c:v>1340</c:v>
                </c:pt>
                <c:pt idx="9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F-40C3-BFB6-523375892DF2}"/>
            </c:ext>
          </c:extLst>
        </c:ser>
        <c:ser>
          <c:idx val="1"/>
          <c:order val="1"/>
          <c:tx>
            <c:strRef>
              <c:f>Products!$C$1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472B6"/>
            </a:solidFill>
            <a:ln>
              <a:noFill/>
            </a:ln>
            <a:effectLst/>
          </c:spPr>
          <c:invertIfNegative val="0"/>
          <c:cat>
            <c:strRef>
              <c:f>Products!$A$2:$A$11</c:f>
              <c:strCache>
                <c:ptCount val="10"/>
                <c:pt idx="0">
                  <c:v>Atlas Pro CRM</c:v>
                </c:pt>
                <c:pt idx="1">
                  <c:v>Helix Analytics</c:v>
                </c:pt>
                <c:pt idx="2">
                  <c:v>Nimbus Cloud Suite</c:v>
                </c:pt>
                <c:pt idx="3">
                  <c:v>Orion Security</c:v>
                </c:pt>
                <c:pt idx="4">
                  <c:v>Quasar BI</c:v>
                </c:pt>
                <c:pt idx="5">
                  <c:v>Vertex API Gateway</c:v>
                </c:pt>
                <c:pt idx="6">
                  <c:v>Polaris Workflow</c:v>
                </c:pt>
                <c:pt idx="7">
                  <c:v>Cobalt Forms</c:v>
                </c:pt>
                <c:pt idx="8">
                  <c:v>Falcon Insights</c:v>
                </c:pt>
                <c:pt idx="9">
                  <c:v>Echo Messenger</c:v>
                </c:pt>
              </c:strCache>
            </c:strRef>
          </c:cat>
          <c:val>
            <c:numRef>
              <c:f>Products!$C$2:$C$11</c:f>
              <c:numCache>
                <c:formatCode>[$$-409]#,##0</c:formatCode>
                <c:ptCount val="10"/>
                <c:pt idx="0">
                  <c:v>892500</c:v>
                </c:pt>
                <c:pt idx="1">
                  <c:v>715500</c:v>
                </c:pt>
                <c:pt idx="2">
                  <c:v>661500</c:v>
                </c:pt>
                <c:pt idx="3">
                  <c:v>588375</c:v>
                </c:pt>
                <c:pt idx="4">
                  <c:v>558000</c:v>
                </c:pt>
                <c:pt idx="5">
                  <c:v>473625</c:v>
                </c:pt>
                <c:pt idx="6">
                  <c:v>425250</c:v>
                </c:pt>
                <c:pt idx="7">
                  <c:v>351000</c:v>
                </c:pt>
                <c:pt idx="8">
                  <c:v>301500</c:v>
                </c:pt>
                <c:pt idx="9">
                  <c:v>244125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F-40C3-BFB6-523375892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583184"/>
        <c:axId val="352582704"/>
      </c:barChart>
      <c:catAx>
        <c:axId val="35258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3AF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2582704"/>
        <c:crosses val="autoZero"/>
        <c:auto val="1"/>
        <c:lblAlgn val="ctr"/>
        <c:lblOffset val="100"/>
        <c:noMultiLvlLbl val="0"/>
      </c:catAx>
      <c:valAx>
        <c:axId val="35258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1F2937"/>
              </a:solidFill>
              <a:prstDash val="solid"/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3AF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2583184"/>
        <c:crosses val="autoZero"/>
        <c:crossBetween val="between"/>
      </c:valAx>
      <c:spPr>
        <a:solidFill>
          <a:srgbClr val="111C2E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D1D5DB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C2E"/>
    </a:solidFill>
    <a:ln w="9525" cap="flat" cmpd="sng" algn="ctr">
      <a:solidFill>
        <a:srgbClr val="1F2937"/>
      </a:solidFill>
      <a:prstDash val="solid"/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Regional Revenue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2D3EE"/>
            </a:solidFill>
            <a:ln>
              <a:noFill/>
            </a:ln>
            <a:effectLst/>
          </c:spPr>
          <c:invertIfNegative val="0"/>
          <c:cat>
            <c:strRef>
              <c:f>Regions!$A$2:$A$9</c:f>
              <c:strCache>
                <c:ptCount val="8"/>
                <c:pt idx="0">
                  <c:v>North America</c:v>
                </c:pt>
                <c:pt idx="1">
                  <c:v>South America</c:v>
                </c:pt>
                <c:pt idx="2">
                  <c:v>EMEA - West</c:v>
                </c:pt>
                <c:pt idx="3">
                  <c:v>EMEA - East</c:v>
                </c:pt>
                <c:pt idx="4">
                  <c:v>APAC - North</c:v>
                </c:pt>
                <c:pt idx="5">
                  <c:v>APAC - South</c:v>
                </c:pt>
                <c:pt idx="6">
                  <c:v>Middle East</c:v>
                </c:pt>
                <c:pt idx="7">
                  <c:v>Africa</c:v>
                </c:pt>
              </c:strCache>
            </c:strRef>
          </c:cat>
          <c:val>
            <c:numRef>
              <c:f>Regions!$B$2:$B$9</c:f>
              <c:numCache>
                <c:formatCode>[$$-409]#,##0</c:formatCode>
                <c:ptCount val="8"/>
                <c:pt idx="0">
                  <c:v>1245000</c:v>
                </c:pt>
                <c:pt idx="1">
                  <c:v>685000</c:v>
                </c:pt>
                <c:pt idx="2">
                  <c:v>1098000</c:v>
                </c:pt>
                <c:pt idx="3">
                  <c:v>542000</c:v>
                </c:pt>
                <c:pt idx="4">
                  <c:v>875000</c:v>
                </c:pt>
                <c:pt idx="5">
                  <c:v>612000</c:v>
                </c:pt>
                <c:pt idx="6">
                  <c:v>428000</c:v>
                </c:pt>
                <c:pt idx="7">
                  <c:v>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3-4CB7-8D10-EDD40D8AF123}"/>
            </c:ext>
          </c:extLst>
        </c:ser>
        <c:ser>
          <c:idx val="1"/>
          <c:order val="1"/>
          <c:tx>
            <c:strRef>
              <c:f>Regions!$C$1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374151"/>
            </a:solidFill>
            <a:ln>
              <a:noFill/>
            </a:ln>
            <a:effectLst/>
          </c:spPr>
          <c:invertIfNegative val="0"/>
          <c:cat>
            <c:strRef>
              <c:f>Regions!$A$2:$A$9</c:f>
              <c:strCache>
                <c:ptCount val="8"/>
                <c:pt idx="0">
                  <c:v>North America</c:v>
                </c:pt>
                <c:pt idx="1">
                  <c:v>South America</c:v>
                </c:pt>
                <c:pt idx="2">
                  <c:v>EMEA - West</c:v>
                </c:pt>
                <c:pt idx="3">
                  <c:v>EMEA - East</c:v>
                </c:pt>
                <c:pt idx="4">
                  <c:v>APAC - North</c:v>
                </c:pt>
                <c:pt idx="5">
                  <c:v>APAC - South</c:v>
                </c:pt>
                <c:pt idx="6">
                  <c:v>Middle East</c:v>
                </c:pt>
                <c:pt idx="7">
                  <c:v>Africa</c:v>
                </c:pt>
              </c:strCache>
            </c:strRef>
          </c:cat>
          <c:val>
            <c:numRef>
              <c:f>Regions!$C$2:$C$9</c:f>
              <c:numCache>
                <c:formatCode>[$$-409]#,##0</c:formatCode>
                <c:ptCount val="8"/>
                <c:pt idx="0">
                  <c:v>1150000</c:v>
                </c:pt>
                <c:pt idx="1">
                  <c:v>720000</c:v>
                </c:pt>
                <c:pt idx="2">
                  <c:v>980000</c:v>
                </c:pt>
                <c:pt idx="3">
                  <c:v>580000</c:v>
                </c:pt>
                <c:pt idx="4">
                  <c:v>820000</c:v>
                </c:pt>
                <c:pt idx="5">
                  <c:v>650000</c:v>
                </c:pt>
                <c:pt idx="6">
                  <c:v>410000</c:v>
                </c:pt>
                <c:pt idx="7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3-4CB7-8D10-EDD40D8AF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148640"/>
        <c:axId val="1342146240"/>
      </c:barChart>
      <c:catAx>
        <c:axId val="13421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3AF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42146240"/>
        <c:crosses val="autoZero"/>
        <c:auto val="1"/>
        <c:lblAlgn val="ctr"/>
        <c:lblOffset val="100"/>
        <c:noMultiLvlLbl val="0"/>
      </c:catAx>
      <c:valAx>
        <c:axId val="13421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F2937"/>
              </a:solidFill>
              <a:prstDash val="solid"/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CA3AF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42148640"/>
        <c:crosses val="autoZero"/>
        <c:crossBetween val="between"/>
      </c:valAx>
      <c:spPr>
        <a:solidFill>
          <a:srgbClr val="111C2E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D1D5DB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C2E"/>
    </a:solidFill>
    <a:ln w="9525" cap="flat" cmpd="sng" algn="ctr">
      <a:solidFill>
        <a:srgbClr val="1F2937"/>
      </a:solidFill>
      <a:prstDash val="solid"/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4" name="trend">
          <a:extLst>
            <a:ext uri="{FF2B5EF4-FFF2-40B4-BE49-F238E27FC236}">
              <a16:creationId xmlns:a16="http://schemas.microsoft.com/office/drawing/2014/main" id="{B99A4B6A-1646-F98D-CD4E-27EEC0FA6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10</xdr:col>
      <xdr:colOff>0</xdr:colOff>
      <xdr:row>47</xdr:row>
      <xdr:rowOff>0</xdr:rowOff>
    </xdr:to>
    <xdr:graphicFrame macro="">
      <xdr:nvGraphicFramePr>
        <xdr:cNvPr id="5" name="products">
          <a:extLst>
            <a:ext uri="{FF2B5EF4-FFF2-40B4-BE49-F238E27FC236}">
              <a16:creationId xmlns:a16="http://schemas.microsoft.com/office/drawing/2014/main" id="{5C90AE4A-097F-8D31-B3D2-78059BAA9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19</xdr:col>
      <xdr:colOff>0</xdr:colOff>
      <xdr:row>62</xdr:row>
      <xdr:rowOff>0</xdr:rowOff>
    </xdr:to>
    <xdr:graphicFrame macro="">
      <xdr:nvGraphicFramePr>
        <xdr:cNvPr id="6" name="regions">
          <a:extLst>
            <a:ext uri="{FF2B5EF4-FFF2-40B4-BE49-F238E27FC236}">
              <a16:creationId xmlns:a16="http://schemas.microsoft.com/office/drawing/2014/main" id="{2D091B6B-FD2F-8A5B-5B24-FCF39DC65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2BD9ED-12D1-4D6A-B4C4-98F82493E9B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cb222ce-9924-40ef-8463-d2af082f7f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zoomScale="55" zoomScaleNormal="55" workbookViewId="0">
      <selection activeCell="B2" sqref="B2"/>
    </sheetView>
  </sheetViews>
  <sheetFormatPr defaultRowHeight="15" x14ac:dyDescent="0.25"/>
  <cols>
    <col min="1" max="1" width="3.42578125" customWidth="1"/>
    <col min="2" max="19" width="24.7109375" customWidth="1"/>
    <col min="20" max="20" width="3.42578125" customWidth="1"/>
  </cols>
  <sheetData>
    <row r="1" spans="1:20" ht="14.1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44.1" customHeight="1" x14ac:dyDescent="0.5">
      <c r="A2" s="4"/>
      <c r="B2" s="5" t="s">
        <v>43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 t="str">
        <f ca="1">"Updated " &amp; TEXT(TODAY(),"mmm d, yyyy")</f>
        <v>Updated May 14, 2026</v>
      </c>
      <c r="R2" s="4"/>
      <c r="S2" s="4"/>
      <c r="T2" s="4"/>
    </row>
    <row r="3" spans="1:20" ht="26.1" customHeight="1" x14ac:dyDescent="0.25">
      <c r="A3" s="4"/>
      <c r="B3" s="6" t="s">
        <v>44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8" t="s">
        <v>45</v>
      </c>
      <c r="R3" s="4"/>
      <c r="S3" s="4"/>
      <c r="T3" s="4"/>
    </row>
    <row r="4" spans="1:20" ht="14.1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27.95" customHeight="1" thickTop="1" x14ac:dyDescent="0.25">
      <c r="A5" s="4"/>
      <c r="B5" s="51"/>
      <c r="C5" s="52"/>
      <c r="D5" s="52"/>
      <c r="E5" s="59"/>
      <c r="F5" s="60"/>
      <c r="G5" s="60"/>
      <c r="H5" s="63"/>
      <c r="I5" s="64"/>
      <c r="J5" s="64"/>
      <c r="K5" s="67"/>
      <c r="L5" s="68"/>
      <c r="M5" s="68"/>
      <c r="N5" s="71"/>
      <c r="O5" s="72"/>
      <c r="P5" s="72"/>
      <c r="Q5" s="75"/>
      <c r="R5" s="76"/>
      <c r="S5" s="77"/>
      <c r="T5" s="4"/>
    </row>
    <row r="6" spans="1:20" ht="27.95" customHeight="1" x14ac:dyDescent="0.25">
      <c r="A6" s="4"/>
      <c r="B6" s="53" t="s">
        <v>46</v>
      </c>
      <c r="C6" s="54"/>
      <c r="D6" s="55"/>
      <c r="E6" s="53" t="s">
        <v>47</v>
      </c>
      <c r="F6" s="54"/>
      <c r="G6" s="55"/>
      <c r="H6" s="53" t="s">
        <v>48</v>
      </c>
      <c r="I6" s="54"/>
      <c r="J6" s="55"/>
      <c r="K6" s="53" t="s">
        <v>49</v>
      </c>
      <c r="L6" s="54"/>
      <c r="M6" s="55"/>
      <c r="N6" s="53" t="s">
        <v>50</v>
      </c>
      <c r="O6" s="54"/>
      <c r="P6" s="55"/>
      <c r="Q6" s="53" t="s">
        <v>51</v>
      </c>
      <c r="R6" s="54"/>
      <c r="S6" s="78"/>
      <c r="T6" s="4"/>
    </row>
    <row r="7" spans="1:20" ht="27.95" customHeight="1" x14ac:dyDescent="0.25">
      <c r="A7" s="4"/>
      <c r="B7" s="81">
        <f>SUM(Data!B2:B25)</f>
        <v>2810853</v>
      </c>
      <c r="C7" s="54"/>
      <c r="D7" s="55"/>
      <c r="E7" s="61">
        <f>SUM(Data!B2:B25)/SUM(Data!C2:C25)-1</f>
        <v>9.201748251748243E-2</v>
      </c>
      <c r="F7" s="54"/>
      <c r="G7" s="55"/>
      <c r="H7" s="65">
        <f>SUM(Data!E2:E25)/SUM(Data!B2:B25)</f>
        <v>0.45006017746214405</v>
      </c>
      <c r="I7" s="54"/>
      <c r="J7" s="55"/>
      <c r="K7" s="69">
        <f>SUM(Data!B14:B25)/SUM(Data!B2:B13)-1</f>
        <v>-1.1704746410129419E-2</v>
      </c>
      <c r="L7" s="54"/>
      <c r="M7" s="55"/>
      <c r="N7" s="73" t="str">
        <f>TEXT(INDEX(Data!A2:A25,MATCH(MAX(Data!B2:B25),Data!B2:B25,0)),"mmm-yy")</f>
        <v>Dec-24</v>
      </c>
      <c r="O7" s="54"/>
      <c r="P7" s="55"/>
      <c r="Q7" s="73" t="str">
        <f>COUNTIF(Reps!E2:E11,"&gt;=1")&amp;" / "&amp;COUNTA(Reps!A2:A11)</f>
        <v>7 / 10</v>
      </c>
      <c r="R7" s="54"/>
      <c r="S7" s="78"/>
      <c r="T7" s="4"/>
    </row>
    <row r="8" spans="1:20" ht="27.95" customHeight="1" x14ac:dyDescent="0.25">
      <c r="A8" s="4"/>
      <c r="B8" s="56"/>
      <c r="C8" s="54"/>
      <c r="D8" s="55"/>
      <c r="E8" s="56"/>
      <c r="F8" s="54"/>
      <c r="G8" s="55"/>
      <c r="H8" s="56"/>
      <c r="I8" s="54"/>
      <c r="J8" s="55"/>
      <c r="K8" s="56"/>
      <c r="L8" s="54"/>
      <c r="M8" s="55"/>
      <c r="N8" s="56"/>
      <c r="O8" s="54"/>
      <c r="P8" s="55"/>
      <c r="Q8" s="56"/>
      <c r="R8" s="54"/>
      <c r="S8" s="78"/>
      <c r="T8" s="4"/>
    </row>
    <row r="9" spans="1:20" ht="27.95" customHeight="1" x14ac:dyDescent="0.25">
      <c r="A9" s="4"/>
      <c r="B9" s="57" t="str">
        <f>"Avg $"&amp;TEXT(AVERAGE(Data!B2:B25),"#,##0")&amp;" / month"</f>
        <v>Avg $117,119 / month</v>
      </c>
      <c r="C9" s="58"/>
      <c r="D9" s="58"/>
      <c r="E9" s="62" t="str">
        <f>IF(SUM(Data!B2:B25)-SUM(Data!C2:C25)&gt;=0,"+$","-$")&amp;TEXT(ABS(SUM(Data!B2:B25)-SUM(Data!C2:C25)),"#,##0")&amp;" vs plan"</f>
        <v>+$236,853 vs plan</v>
      </c>
      <c r="F9" s="58"/>
      <c r="G9" s="58"/>
      <c r="H9" s="66" t="str">
        <f>"$"&amp;TEXT(SUM(Data!E2:E25),"#,##0")&amp;" gross profit"</f>
        <v>$1,265,053 gross profit</v>
      </c>
      <c r="I9" s="58"/>
      <c r="J9" s="58"/>
      <c r="K9" s="70" t="str">
        <f>"FY25 $"&amp;TEXT(SUM(Data!B14:B25),"#,##0")</f>
        <v>FY25 $1,397,153</v>
      </c>
      <c r="L9" s="58"/>
      <c r="M9" s="58"/>
      <c r="N9" s="74" t="str">
        <f>"$"&amp;TEXT(MAX(Data!B2:B25),"#,##0")&amp;" peak revenue"</f>
        <v>$156,800 peak revenue</v>
      </c>
      <c r="O9" s="58"/>
      <c r="P9" s="58"/>
      <c r="Q9" s="79" t="str">
        <f>"Avg attainment "&amp;TEXT(AVERAGE(Reps!E2:E11),"0.0%")</f>
        <v>Avg attainment 112.3%</v>
      </c>
      <c r="R9" s="58"/>
      <c r="S9" s="80"/>
      <c r="T9" s="4"/>
    </row>
    <row r="10" spans="1:20" ht="14.1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21.95" customHeight="1" x14ac:dyDescent="0.25">
      <c r="A11" s="4"/>
      <c r="B11" s="10" t="s">
        <v>52</v>
      </c>
      <c r="C11" s="4"/>
      <c r="D11" s="4"/>
      <c r="E11" s="4"/>
      <c r="F11" s="4"/>
      <c r="G11" s="4"/>
      <c r="H11" s="4"/>
      <c r="I11" s="4"/>
      <c r="J11" s="4"/>
      <c r="K11" s="10" t="s">
        <v>53</v>
      </c>
      <c r="L11" s="4"/>
      <c r="M11" s="4"/>
      <c r="N11" s="4"/>
      <c r="O11" s="4"/>
      <c r="P11" s="4"/>
      <c r="Q11" s="4"/>
      <c r="R11" s="4"/>
      <c r="S11" s="4"/>
      <c r="T11" s="4"/>
    </row>
    <row r="12" spans="1:20" ht="21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11" t="s">
        <v>0</v>
      </c>
      <c r="L12" s="11" t="s">
        <v>1</v>
      </c>
      <c r="M12" s="11" t="s">
        <v>2</v>
      </c>
      <c r="N12" s="11" t="s">
        <v>3</v>
      </c>
      <c r="O12" s="11" t="s">
        <v>4</v>
      </c>
      <c r="P12" s="11" t="s">
        <v>56</v>
      </c>
      <c r="Q12" s="11" t="s">
        <v>57</v>
      </c>
      <c r="R12" s="4"/>
      <c r="S12" s="4"/>
      <c r="T12" s="4"/>
    </row>
    <row r="13" spans="1:20" ht="21.9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12" t="str">
        <f>TEXT(Data!A14,"mmm-yy")</f>
        <v>Jan-25</v>
      </c>
      <c r="L13" s="82">
        <f>Data!B14</f>
        <v>121905</v>
      </c>
      <c r="M13" s="82">
        <f>Data!C14</f>
        <v>108000</v>
      </c>
      <c r="N13" s="83">
        <f>L13-M13</f>
        <v>13905</v>
      </c>
      <c r="O13" s="20">
        <f>IFERROR(N13/M13,0)</f>
        <v>0.12875</v>
      </c>
      <c r="P13" s="13">
        <f>IFERROR((Data!B14-Data!D14)/Data!B14,0)</f>
        <v>0.45039169845371396</v>
      </c>
      <c r="Q13" s="21" t="str">
        <f>IF(O13&gt;=0.05,"▲ Strong",IF(O13&gt;=0,"● On track","▼ Below"))</f>
        <v>▲ Strong</v>
      </c>
      <c r="R13" s="4"/>
      <c r="S13" s="4"/>
      <c r="T13" s="4"/>
    </row>
    <row r="14" spans="1:20" ht="21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4" t="str">
        <f>TEXT(Data!A15,"mmm-yy")</f>
        <v>Feb-25</v>
      </c>
      <c r="L14" s="84">
        <f>Data!B15</f>
        <v>89296</v>
      </c>
      <c r="M14" s="84">
        <f>Data!C15</f>
        <v>109500</v>
      </c>
      <c r="N14" s="85">
        <f>L14-M14</f>
        <v>-20204</v>
      </c>
      <c r="O14" s="22">
        <f>IFERROR(N14/M14,0)</f>
        <v>-0.18451141552511416</v>
      </c>
      <c r="P14" s="15">
        <f>IFERROR((Data!B15-Data!D15)/Data!B15,0)</f>
        <v>0.45014334348683033</v>
      </c>
      <c r="Q14" s="23" t="str">
        <f>IF(O14&gt;=0.05,"▲ Strong",IF(O14&gt;=0,"● On track","▼ Below"))</f>
        <v>▼ Below</v>
      </c>
      <c r="R14" s="4"/>
      <c r="S14" s="4"/>
      <c r="T14" s="4"/>
    </row>
    <row r="15" spans="1:20" ht="21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6" t="str">
        <f>TEXT(Data!A16,"mmm-yy")</f>
        <v>Mar-25</v>
      </c>
      <c r="L15" s="86">
        <f>Data!B16</f>
        <v>85639</v>
      </c>
      <c r="M15" s="86">
        <f>Data!C16</f>
        <v>111000</v>
      </c>
      <c r="N15" s="87">
        <f>L15-M15</f>
        <v>-25361</v>
      </c>
      <c r="O15" s="24">
        <f>IFERROR(N15/M15,0)</f>
        <v>-0.22847747747747749</v>
      </c>
      <c r="P15" s="17">
        <f>IFERROR((Data!B16-Data!D16)/Data!B16,0)</f>
        <v>0.45001693153820105</v>
      </c>
      <c r="Q15" s="25" t="str">
        <f>IF(O15&gt;=0.05,"▲ Strong",IF(O15&gt;=0,"● On track","▼ Below"))</f>
        <v>▼ Below</v>
      </c>
      <c r="R15" s="4"/>
      <c r="S15" s="4"/>
      <c r="T15" s="4"/>
    </row>
    <row r="16" spans="1:20" ht="21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14" t="str">
        <f>TEXT(Data!A17,"mmm-yy")</f>
        <v>Apr-25</v>
      </c>
      <c r="L16" s="84">
        <f>Data!B17</f>
        <v>134598</v>
      </c>
      <c r="M16" s="84">
        <f>Data!C17</f>
        <v>112500</v>
      </c>
      <c r="N16" s="88">
        <f>L16-M16</f>
        <v>22098</v>
      </c>
      <c r="O16" s="26">
        <f>IFERROR(N16/M16,0)</f>
        <v>0.19642666666666667</v>
      </c>
      <c r="P16" s="15">
        <f>IFERROR((Data!B17-Data!D17)/Data!B17,0)</f>
        <v>0.45021471344299319</v>
      </c>
      <c r="Q16" s="27" t="str">
        <f>IF(O16&gt;=0.05,"▲ Strong",IF(O16&gt;=0,"● On track","▼ Below"))</f>
        <v>▲ Strong</v>
      </c>
      <c r="R16" s="4"/>
      <c r="S16" s="4"/>
      <c r="T16" s="4"/>
    </row>
    <row r="17" spans="1:20" ht="21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16" t="str">
        <f>TEXT(Data!A18,"mmm-yy")</f>
        <v>May-25</v>
      </c>
      <c r="L17" s="86">
        <f>Data!B18</f>
        <v>106024</v>
      </c>
      <c r="M17" s="86">
        <f>Data!C18</f>
        <v>114000</v>
      </c>
      <c r="N17" s="87">
        <f>L17-M17</f>
        <v>-7976</v>
      </c>
      <c r="O17" s="24">
        <f>IFERROR(N17/M17,0)</f>
        <v>-6.9964912280701758E-2</v>
      </c>
      <c r="P17" s="17">
        <f>IFERROR((Data!B18-Data!D18)/Data!B18,0)</f>
        <v>0.45012450011318195</v>
      </c>
      <c r="Q17" s="25" t="str">
        <f>IF(O17&gt;=0.05,"▲ Strong",IF(O17&gt;=0,"● On track","▼ Below"))</f>
        <v>▼ Below</v>
      </c>
      <c r="R17" s="4"/>
      <c r="S17" s="4"/>
      <c r="T17" s="4"/>
    </row>
    <row r="18" spans="1:20" ht="21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14" t="str">
        <f>TEXT(Data!A19,"mmm-yy")</f>
        <v>Jun-25</v>
      </c>
      <c r="L18" s="84">
        <f>Data!B19</f>
        <v>106049</v>
      </c>
      <c r="M18" s="84">
        <f>Data!C19</f>
        <v>115500</v>
      </c>
      <c r="N18" s="85">
        <f>L18-M18</f>
        <v>-9451</v>
      </c>
      <c r="O18" s="22">
        <f>IFERROR(N18/M18,0)</f>
        <v>-8.1826839826839831E-2</v>
      </c>
      <c r="P18" s="15">
        <f>IFERROR((Data!B19-Data!D19)/Data!B19,0)</f>
        <v>0.45025412780884311</v>
      </c>
      <c r="Q18" s="23" t="str">
        <f>IF(O18&gt;=0.05,"▲ Strong",IF(O18&gt;=0,"● On track","▼ Below"))</f>
        <v>▼ Below</v>
      </c>
      <c r="R18" s="4"/>
      <c r="S18" s="4"/>
      <c r="T18" s="4"/>
    </row>
    <row r="19" spans="1:20" ht="21.9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16" t="str">
        <f>TEXT(Data!A20,"mmm-yy")</f>
        <v>Jul-25</v>
      </c>
      <c r="L19" s="86">
        <f>Data!B20</f>
        <v>106628</v>
      </c>
      <c r="M19" s="86">
        <f>Data!C20</f>
        <v>117000</v>
      </c>
      <c r="N19" s="87">
        <f>L19-M19</f>
        <v>-10372</v>
      </c>
      <c r="O19" s="24">
        <f>IFERROR(N19/M19,0)</f>
        <v>-8.8649572649572655E-2</v>
      </c>
      <c r="P19" s="17">
        <f>IFERROR((Data!B20-Data!D20)/Data!B20,0)</f>
        <v>0.45042577934501254</v>
      </c>
      <c r="Q19" s="25" t="str">
        <f>IF(O19&gt;=0.05,"▲ Strong",IF(O19&gt;=0,"● On track","▼ Below"))</f>
        <v>▼ Below</v>
      </c>
      <c r="R19" s="4"/>
      <c r="S19" s="4"/>
      <c r="T19" s="4"/>
    </row>
    <row r="20" spans="1:20" ht="21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14" t="str">
        <f>TEXT(Data!A21,"mmm-yy")</f>
        <v>Aug-25</v>
      </c>
      <c r="L20" s="84">
        <f>Data!B21</f>
        <v>103144</v>
      </c>
      <c r="M20" s="84">
        <f>Data!C21</f>
        <v>118500</v>
      </c>
      <c r="N20" s="85">
        <f>L20-M20</f>
        <v>-15356</v>
      </c>
      <c r="O20" s="22">
        <f>IFERROR(N20/M20,0)</f>
        <v>-0.12958649789029536</v>
      </c>
      <c r="P20" s="15">
        <f>IFERROR((Data!B21-Data!D21)/Data!B21,0)</f>
        <v>0.45028309935623984</v>
      </c>
      <c r="Q20" s="23" t="str">
        <f>IF(O20&gt;=0.05,"▲ Strong",IF(O20&gt;=0,"● On track","▼ Below"))</f>
        <v>▼ Below</v>
      </c>
      <c r="R20" s="4"/>
      <c r="S20" s="4"/>
      <c r="T20" s="4"/>
    </row>
    <row r="21" spans="1:20" ht="21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16" t="str">
        <f>TEXT(Data!A22,"mmm-yy")</f>
        <v>Sept-25</v>
      </c>
      <c r="L21" s="86">
        <f>Data!B22</f>
        <v>144265</v>
      </c>
      <c r="M21" s="86">
        <f>Data!C22</f>
        <v>120000</v>
      </c>
      <c r="N21" s="89">
        <f>L21-M21</f>
        <v>24265</v>
      </c>
      <c r="O21" s="28">
        <f>IFERROR(N21/M21,0)</f>
        <v>0.20220833333333332</v>
      </c>
      <c r="P21" s="17">
        <f>IFERROR((Data!B22-Data!D22)/Data!B22,0)</f>
        <v>0.45031712473572938</v>
      </c>
      <c r="Q21" s="29" t="str">
        <f>IF(O21&gt;=0.05,"▲ Strong",IF(O21&gt;=0,"● On track","▼ Below"))</f>
        <v>▲ Strong</v>
      </c>
      <c r="R21" s="4"/>
      <c r="S21" s="4"/>
      <c r="T21" s="4"/>
    </row>
    <row r="22" spans="1:2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14" t="str">
        <f>TEXT(Data!A23,"mmm-yy")</f>
        <v>Oct-25</v>
      </c>
      <c r="L22" s="84">
        <f>Data!B23</f>
        <v>104717</v>
      </c>
      <c r="M22" s="84">
        <f>Data!C23</f>
        <v>121500</v>
      </c>
      <c r="N22" s="85">
        <f>L22-M22</f>
        <v>-16783</v>
      </c>
      <c r="O22" s="22">
        <f>IFERROR(N22/M22,0)</f>
        <v>-0.13813168724279837</v>
      </c>
      <c r="P22" s="15">
        <f>IFERROR((Data!B23-Data!D23)/Data!B23,0)</f>
        <v>0.44994604505476665</v>
      </c>
      <c r="Q22" s="23" t="str">
        <f>IF(O22&gt;=0.05,"▲ Strong",IF(O22&gt;=0,"● On track","▼ Below"))</f>
        <v>▼ Below</v>
      </c>
      <c r="R22" s="4"/>
      <c r="S22" s="4"/>
      <c r="T22" s="4"/>
    </row>
    <row r="23" spans="1:20" ht="21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16" t="str">
        <f>TEXT(Data!A24,"mmm-yy")</f>
        <v>Nov-25</v>
      </c>
      <c r="L23" s="86">
        <f>Data!B24</f>
        <v>144348</v>
      </c>
      <c r="M23" s="86">
        <f>Data!C24</f>
        <v>123000</v>
      </c>
      <c r="N23" s="89">
        <f>L23-M23</f>
        <v>21348</v>
      </c>
      <c r="O23" s="28">
        <f>IFERROR(N23/M23,0)</f>
        <v>0.17356097560975609</v>
      </c>
      <c r="P23" s="17">
        <f>IFERROR((Data!B24-Data!D24)/Data!B24,0)</f>
        <v>0.449940421758528</v>
      </c>
      <c r="Q23" s="29" t="str">
        <f>IF(O23&gt;=0.05,"▲ Strong",IF(O23&gt;=0,"● On track","▼ Below"))</f>
        <v>▲ Strong</v>
      </c>
      <c r="R23" s="4"/>
      <c r="S23" s="4"/>
      <c r="T23" s="4"/>
    </row>
    <row r="24" spans="1:20" ht="21.9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18" t="str">
        <f>TEXT(Data!A25,"mmm-yy")</f>
        <v>Dec-25</v>
      </c>
      <c r="L24" s="90">
        <f>Data!B25</f>
        <v>150540</v>
      </c>
      <c r="M24" s="90">
        <f>Data!C25</f>
        <v>124500</v>
      </c>
      <c r="N24" s="91">
        <f>L24-M24</f>
        <v>26040</v>
      </c>
      <c r="O24" s="30">
        <f>IFERROR(N24/M24,0)</f>
        <v>0.2091566265060241</v>
      </c>
      <c r="P24" s="19">
        <f>IFERROR((Data!B25-Data!D25)/Data!B25,0)</f>
        <v>0.44998007174172977</v>
      </c>
      <c r="Q24" s="31" t="str">
        <f>IF(O24&gt;=0.05,"▲ Strong",IF(O24&gt;=0,"● On track","▼ Below"))</f>
        <v>▲ Strong</v>
      </c>
      <c r="R24" s="4"/>
      <c r="S24" s="4"/>
      <c r="T24" s="4"/>
    </row>
    <row r="25" spans="1:20" ht="21.9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21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21.9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21.9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4.1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21.95" customHeight="1" x14ac:dyDescent="0.25">
      <c r="A30" s="4"/>
      <c r="B30" s="10" t="s">
        <v>54</v>
      </c>
      <c r="C30" s="4"/>
      <c r="D30" s="4"/>
      <c r="E30" s="4"/>
      <c r="F30" s="4"/>
      <c r="G30" s="4"/>
      <c r="H30" s="4"/>
      <c r="I30" s="4"/>
      <c r="J30" s="4"/>
      <c r="K30" s="10" t="s">
        <v>55</v>
      </c>
      <c r="L30" s="4"/>
      <c r="M30" s="4"/>
      <c r="N30" s="4"/>
      <c r="O30" s="4"/>
      <c r="P30" s="4"/>
      <c r="Q30" s="4"/>
      <c r="R30" s="4"/>
      <c r="S30" s="4"/>
      <c r="T30" s="4"/>
    </row>
    <row r="31" spans="1:20" ht="21.9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11" t="s">
        <v>58</v>
      </c>
      <c r="L31" s="11" t="s">
        <v>30</v>
      </c>
      <c r="M31" s="11" t="s">
        <v>5</v>
      </c>
      <c r="N31" s="11" t="s">
        <v>59</v>
      </c>
      <c r="O31" s="11" t="s">
        <v>1</v>
      </c>
      <c r="P31" s="11" t="s">
        <v>60</v>
      </c>
      <c r="Q31" s="11" t="s">
        <v>57</v>
      </c>
      <c r="R31" s="4"/>
      <c r="S31" s="4"/>
      <c r="T31" s="4"/>
    </row>
    <row r="32" spans="1:20" ht="21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32">
        <v>1</v>
      </c>
      <c r="L32" s="33" t="str">
        <f>INDEX(Reps!A$2:A$11,MATCH(LARGE(Reps!D$2:D$11,1),Reps!D$2:D$11,0))</f>
        <v>Sofia Rodriguez</v>
      </c>
      <c r="M32" s="34" t="str">
        <f>INDEX(Reps!B$2:B$11,MATCH(LARGE(Reps!D$2:D$11,1),Reps!D$2:D$11,0))</f>
        <v>North America</v>
      </c>
      <c r="N32" s="35">
        <f>INDEX(Reps!C$2:C$11,MATCH(LARGE(Reps!D$2:D$11,1),Reps!D$2:D$11,0))</f>
        <v>156</v>
      </c>
      <c r="O32" s="82">
        <f>LARGE(Reps!D$2:D$11,1)</f>
        <v>698200</v>
      </c>
      <c r="P32" s="20">
        <f>INDEX(Reps!E$2:E$11,MATCH(LARGE(Reps!D$2:D$11,1),Reps!D$2:D$11,0))</f>
        <v>1.32</v>
      </c>
      <c r="Q32" s="21" t="str">
        <f>IF(P32&gt;=1,"▲ Hit","▼ Miss")</f>
        <v>▲ Hit</v>
      </c>
      <c r="R32" s="4"/>
      <c r="S32" s="4"/>
      <c r="T32" s="4"/>
    </row>
    <row r="33" spans="1:20" ht="21.9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36">
        <v>2</v>
      </c>
      <c r="L33" s="37" t="str">
        <f>INDEX(Reps!A$2:A$11,MATCH(LARGE(Reps!D$2:D$11,2),Reps!D$2:D$11,0))</f>
        <v>Ethan Walker</v>
      </c>
      <c r="M33" s="38" t="str">
        <f>INDEX(Reps!B$2:B$11,MATCH(LARGE(Reps!D$2:D$11,2),Reps!D$2:D$11,0))</f>
        <v>North America</v>
      </c>
      <c r="N33" s="39">
        <f>INDEX(Reps!C$2:C$11,MATCH(LARGE(Reps!D$2:D$11,2),Reps!D$2:D$11,0))</f>
        <v>148</v>
      </c>
      <c r="O33" s="84">
        <f>LARGE(Reps!D$2:D$11,2)</f>
        <v>654100</v>
      </c>
      <c r="P33" s="26">
        <f>INDEX(Reps!E$2:E$11,MATCH(LARGE(Reps!D$2:D$11,2),Reps!D$2:D$11,0))</f>
        <v>1.28</v>
      </c>
      <c r="Q33" s="27" t="str">
        <f>IF(P33&gt;=1,"▲ Hit","▼ Miss")</f>
        <v>▲ Hit</v>
      </c>
      <c r="R33" s="4"/>
      <c r="S33" s="4"/>
      <c r="T33" s="4"/>
    </row>
    <row r="34" spans="1:20" ht="21.9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0">
        <v>3</v>
      </c>
      <c r="L34" s="41" t="str">
        <f>INDEX(Reps!A$2:A$11,MATCH(LARGE(Reps!D$2:D$11,3),Reps!D$2:D$11,0))</f>
        <v>Ayesha Khan</v>
      </c>
      <c r="M34" s="42" t="str">
        <f>INDEX(Reps!B$2:B$11,MATCH(LARGE(Reps!D$2:D$11,3),Reps!D$2:D$11,0))</f>
        <v>EMEA - West</v>
      </c>
      <c r="N34" s="43">
        <f>INDEX(Reps!C$2:C$11,MATCH(LARGE(Reps!D$2:D$11,3),Reps!D$2:D$11,0))</f>
        <v>142</v>
      </c>
      <c r="O34" s="86">
        <f>LARGE(Reps!D$2:D$11,3)</f>
        <v>612400</v>
      </c>
      <c r="P34" s="28">
        <f>INDEX(Reps!E$2:E$11,MATCH(LARGE(Reps!D$2:D$11,3),Reps!D$2:D$11,0))</f>
        <v>1.24</v>
      </c>
      <c r="Q34" s="29" t="str">
        <f>IF(P34&gt;=1,"▲ Hit","▼ Miss")</f>
        <v>▲ Hit</v>
      </c>
      <c r="R34" s="4"/>
      <c r="S34" s="4"/>
      <c r="T34" s="4"/>
    </row>
    <row r="35" spans="1:20" ht="21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36">
        <v>4</v>
      </c>
      <c r="L35" s="37" t="str">
        <f>INDEX(Reps!A$2:A$11,MATCH(LARGE(Reps!D$2:D$11,4),Reps!D$2:D$11,0))</f>
        <v>Hana Tanaka</v>
      </c>
      <c r="M35" s="38" t="str">
        <f>INDEX(Reps!B$2:B$11,MATCH(LARGE(Reps!D$2:D$11,4),Reps!D$2:D$11,0))</f>
        <v>APAC - North</v>
      </c>
      <c r="N35" s="39">
        <f>INDEX(Reps!C$2:C$11,MATCH(LARGE(Reps!D$2:D$11,4),Reps!D$2:D$11,0))</f>
        <v>134</v>
      </c>
      <c r="O35" s="84">
        <f>LARGE(Reps!D$2:D$11,4)</f>
        <v>592800</v>
      </c>
      <c r="P35" s="26">
        <f>INDEX(Reps!E$2:E$11,MATCH(LARGE(Reps!D$2:D$11,4),Reps!D$2:D$11,0))</f>
        <v>1.21</v>
      </c>
      <c r="Q35" s="27" t="str">
        <f>IF(P35&gt;=1,"▲ Hit","▼ Miss")</f>
        <v>▲ Hit</v>
      </c>
      <c r="R35" s="4"/>
      <c r="S35" s="4"/>
      <c r="T35" s="4"/>
    </row>
    <row r="36" spans="1:20" ht="21.9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0">
        <v>5</v>
      </c>
      <c r="L36" s="41" t="str">
        <f>INDEX(Reps!A$2:A$11,MATCH(LARGE(Reps!D$2:D$11,5),Reps!D$2:D$11,0))</f>
        <v>Marcus Chen</v>
      </c>
      <c r="M36" s="42" t="str">
        <f>INDEX(Reps!B$2:B$11,MATCH(LARGE(Reps!D$2:D$11,5),Reps!D$2:D$11,0))</f>
        <v>APAC - North</v>
      </c>
      <c r="N36" s="43">
        <f>INDEX(Reps!C$2:C$11,MATCH(LARGE(Reps!D$2:D$11,5),Reps!D$2:D$11,0))</f>
        <v>128</v>
      </c>
      <c r="O36" s="86">
        <f>LARGE(Reps!D$2:D$11,5)</f>
        <v>558900</v>
      </c>
      <c r="P36" s="28">
        <f>INDEX(Reps!E$2:E$11,MATCH(LARGE(Reps!D$2:D$11,5),Reps!D$2:D$11,0))</f>
        <v>1.18</v>
      </c>
      <c r="Q36" s="29" t="str">
        <f>IF(P36&gt;=1,"▲ Hit","▼ Miss")</f>
        <v>▲ Hit</v>
      </c>
      <c r="R36" s="4"/>
      <c r="S36" s="4"/>
      <c r="T36" s="4"/>
    </row>
    <row r="37" spans="1:20" ht="21.9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36">
        <v>6</v>
      </c>
      <c r="L37" s="37" t="str">
        <f>INDEX(Reps!A$2:A$11,MATCH(LARGE(Reps!D$2:D$11,6),Reps!D$2:D$11,0))</f>
        <v>Priya Sharma</v>
      </c>
      <c r="M37" s="38" t="str">
        <f>INDEX(Reps!B$2:B$11,MATCH(LARGE(Reps!D$2:D$11,6),Reps!D$2:D$11,0))</f>
        <v>APAC - South</v>
      </c>
      <c r="N37" s="39">
        <f>INDEX(Reps!C$2:C$11,MATCH(LARGE(Reps!D$2:D$11,6),Reps!D$2:D$11,0))</f>
        <v>118</v>
      </c>
      <c r="O37" s="84">
        <f>LARGE(Reps!D$2:D$11,6)</f>
        <v>489700</v>
      </c>
      <c r="P37" s="26">
        <f>INDEX(Reps!E$2:E$11,MATCH(LARGE(Reps!D$2:D$11,6),Reps!D$2:D$11,0))</f>
        <v>1.08</v>
      </c>
      <c r="Q37" s="27" t="str">
        <f>IF(P37&gt;=1,"▲ Hit","▼ Miss")</f>
        <v>▲ Hit</v>
      </c>
      <c r="R37" s="4"/>
      <c r="S37" s="4"/>
      <c r="T37" s="4"/>
    </row>
    <row r="38" spans="1:20" ht="21.9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0">
        <v>7</v>
      </c>
      <c r="L38" s="41" t="str">
        <f>INDEX(Reps!A$2:A$11,MATCH(LARGE(Reps!D$2:D$11,7),Reps!D$2:D$11,0))</f>
        <v>Zara Ahmed</v>
      </c>
      <c r="M38" s="42" t="str">
        <f>INDEX(Reps!B$2:B$11,MATCH(LARGE(Reps!D$2:D$11,7),Reps!D$2:D$11,0))</f>
        <v>Middle East</v>
      </c>
      <c r="N38" s="43">
        <f>INDEX(Reps!C$2:C$11,MATCH(LARGE(Reps!D$2:D$11,7),Reps!D$2:D$11,0))</f>
        <v>115</v>
      </c>
      <c r="O38" s="86">
        <f>LARGE(Reps!D$2:D$11,7)</f>
        <v>478300</v>
      </c>
      <c r="P38" s="28">
        <f>INDEX(Reps!E$2:E$11,MATCH(LARGE(Reps!D$2:D$11,7),Reps!D$2:D$11,0))</f>
        <v>1.1200000000000001</v>
      </c>
      <c r="Q38" s="29" t="str">
        <f>IF(P38&gt;=1,"▲ Hit","▼ Miss")</f>
        <v>▲ Hit</v>
      </c>
      <c r="R38" s="4"/>
      <c r="S38" s="4"/>
      <c r="T38" s="4"/>
    </row>
    <row r="39" spans="1:20" ht="21.9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36">
        <v>8</v>
      </c>
      <c r="L39" s="37" t="str">
        <f>INDEX(Reps!A$2:A$11,MATCH(LARGE(Reps!D$2:D$11,8),Reps!D$2:D$11,0))</f>
        <v>Carlos Mendoza</v>
      </c>
      <c r="M39" s="38" t="str">
        <f>INDEX(Reps!B$2:B$11,MATCH(LARGE(Reps!D$2:D$11,8),Reps!D$2:D$11,0))</f>
        <v>South America</v>
      </c>
      <c r="N39" s="39">
        <f>INDEX(Reps!C$2:C$11,MATCH(LARGE(Reps!D$2:D$11,8),Reps!D$2:D$11,0))</f>
        <v>102</v>
      </c>
      <c r="O39" s="84">
        <f>LARGE(Reps!D$2:D$11,8)</f>
        <v>412600</v>
      </c>
      <c r="P39" s="22">
        <f>INDEX(Reps!E$2:E$11,MATCH(LARGE(Reps!D$2:D$11,8),Reps!D$2:D$11,0))</f>
        <v>0.97</v>
      </c>
      <c r="Q39" s="23" t="str">
        <f>IF(P39&gt;=1,"▲ Hit","▼ Miss")</f>
        <v>▼ Miss</v>
      </c>
      <c r="R39" s="4"/>
      <c r="S39" s="4"/>
      <c r="T39" s="4"/>
    </row>
    <row r="40" spans="1:20" ht="21.9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0">
        <v>9</v>
      </c>
      <c r="L40" s="41" t="str">
        <f>INDEX(Reps!A$2:A$11,MATCH(LARGE(Reps!D$2:D$11,9),Reps!D$2:D$11,0))</f>
        <v>Liam O'Connor</v>
      </c>
      <c r="M40" s="42" t="str">
        <f>INDEX(Reps!B$2:B$11,MATCH(LARGE(Reps!D$2:D$11,9),Reps!D$2:D$11,0))</f>
        <v>EMEA - East</v>
      </c>
      <c r="N40" s="43">
        <f>INDEX(Reps!C$2:C$11,MATCH(LARGE(Reps!D$2:D$11,9),Reps!D$2:D$11,0))</f>
        <v>96</v>
      </c>
      <c r="O40" s="86">
        <f>LARGE(Reps!D$2:D$11,9)</f>
        <v>358200</v>
      </c>
      <c r="P40" s="24">
        <f>INDEX(Reps!E$2:E$11,MATCH(LARGE(Reps!D$2:D$11,9),Reps!D$2:D$11,0))</f>
        <v>0.89</v>
      </c>
      <c r="Q40" s="25" t="str">
        <f>IF(P40&gt;=1,"▲ Hit","▼ Miss")</f>
        <v>▼ Miss</v>
      </c>
      <c r="R40" s="4"/>
      <c r="S40" s="4"/>
      <c r="T40" s="4"/>
    </row>
    <row r="41" spans="1:20" ht="21.9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4">
        <v>10</v>
      </c>
      <c r="L41" s="45" t="str">
        <f>INDEX(Reps!A$2:A$11,MATCH(LARGE(Reps!D$2:D$11,10),Reps!D$2:D$11,0))</f>
        <v>Daniel Okafor</v>
      </c>
      <c r="M41" s="46" t="str">
        <f>INDEX(Reps!B$2:B$11,MATCH(LARGE(Reps!D$2:D$11,10),Reps!D$2:D$11,0))</f>
        <v>Africa</v>
      </c>
      <c r="N41" s="47">
        <f>INDEX(Reps!C$2:C$11,MATCH(LARGE(Reps!D$2:D$11,10),Reps!D$2:D$11,0))</f>
        <v>89</v>
      </c>
      <c r="O41" s="90">
        <f>LARGE(Reps!D$2:D$11,10)</f>
        <v>312500</v>
      </c>
      <c r="P41" s="48">
        <f>INDEX(Reps!E$2:E$11,MATCH(LARGE(Reps!D$2:D$11,10),Reps!D$2:D$11,0))</f>
        <v>0.94</v>
      </c>
      <c r="Q41" s="49" t="str">
        <f>IF(P41&gt;=1,"▲ Hit","▼ Miss")</f>
        <v>▼ Miss</v>
      </c>
      <c r="R41" s="4"/>
      <c r="S41" s="4"/>
      <c r="T41" s="4"/>
    </row>
    <row r="42" spans="1:20" ht="21.9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21.9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21.9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21.9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21.9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26.1" customHeight="1" x14ac:dyDescent="0.25">
      <c r="A47" s="4"/>
      <c r="B47" s="10" t="s">
        <v>61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21.9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21.9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21.9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21.9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21.9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21.9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21.9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21.9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21.9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21.9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21.9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21.9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21.9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21.95" customHeight="1" x14ac:dyDescent="0.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 spans="1:20" ht="21.95" customHeight="1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spans="1:20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 spans="1:20" x14ac:dyDescent="0.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 spans="1:20" x14ac:dyDescent="0.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</sheetData>
  <mergeCells count="18">
    <mergeCell ref="N7:P8"/>
    <mergeCell ref="N9:P9"/>
    <mergeCell ref="Q6:S6"/>
    <mergeCell ref="Q7:S8"/>
    <mergeCell ref="Q9:S9"/>
    <mergeCell ref="B6:D6"/>
    <mergeCell ref="B7:D8"/>
    <mergeCell ref="B9:D9"/>
    <mergeCell ref="E6:G6"/>
    <mergeCell ref="E7:G8"/>
    <mergeCell ref="E9:G9"/>
    <mergeCell ref="H6:J6"/>
    <mergeCell ref="H7:J8"/>
    <mergeCell ref="H9:J9"/>
    <mergeCell ref="K6:M6"/>
    <mergeCell ref="K7:M8"/>
    <mergeCell ref="K9:M9"/>
    <mergeCell ref="N6:P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defaultRowHeight="15" x14ac:dyDescent="0.25"/>
  <cols>
    <col min="1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</row>
    <row r="2" spans="1:5" x14ac:dyDescent="0.25">
      <c r="A2" s="9">
        <v>45292</v>
      </c>
      <c r="B2" s="92">
        <v>98500</v>
      </c>
      <c r="C2" s="92">
        <v>90000</v>
      </c>
      <c r="D2" s="92">
        <v>54000</v>
      </c>
      <c r="E2" s="92">
        <f>B2-D2</f>
        <v>44500</v>
      </c>
    </row>
    <row r="3" spans="1:5" x14ac:dyDescent="0.25">
      <c r="A3" s="9">
        <v>45323</v>
      </c>
      <c r="B3" s="92">
        <v>84200</v>
      </c>
      <c r="C3" s="92">
        <v>91500</v>
      </c>
      <c r="D3" s="92">
        <v>46500</v>
      </c>
      <c r="E3" s="92">
        <f>B3-D3</f>
        <v>37700</v>
      </c>
    </row>
    <row r="4" spans="1:5" x14ac:dyDescent="0.25">
      <c r="A4" s="9">
        <v>45352</v>
      </c>
      <c r="B4" s="92">
        <v>91300</v>
      </c>
      <c r="C4" s="92">
        <v>93000</v>
      </c>
      <c r="D4" s="92">
        <v>50200</v>
      </c>
      <c r="E4" s="92">
        <f>B4-D4</f>
        <v>41100</v>
      </c>
    </row>
    <row r="5" spans="1:5" x14ac:dyDescent="0.25">
      <c r="A5" s="9">
        <v>45383</v>
      </c>
      <c r="B5" s="92">
        <v>105400</v>
      </c>
      <c r="C5" s="92">
        <v>94500</v>
      </c>
      <c r="D5" s="92">
        <v>58000</v>
      </c>
      <c r="E5" s="92">
        <f>B5-D5</f>
        <v>47400</v>
      </c>
    </row>
    <row r="6" spans="1:5" x14ac:dyDescent="0.25">
      <c r="A6" s="9">
        <v>45413</v>
      </c>
      <c r="B6" s="92">
        <v>112800</v>
      </c>
      <c r="C6" s="92">
        <v>96000</v>
      </c>
      <c r="D6" s="92">
        <v>62000</v>
      </c>
      <c r="E6" s="92">
        <f>B6-D6</f>
        <v>50800</v>
      </c>
    </row>
    <row r="7" spans="1:5" x14ac:dyDescent="0.25">
      <c r="A7" s="9">
        <v>45444</v>
      </c>
      <c r="B7" s="92">
        <v>118600</v>
      </c>
      <c r="C7" s="92">
        <v>97500</v>
      </c>
      <c r="D7" s="92">
        <v>65300</v>
      </c>
      <c r="E7" s="92">
        <f>B7-D7</f>
        <v>53300</v>
      </c>
    </row>
    <row r="8" spans="1:5" x14ac:dyDescent="0.25">
      <c r="A8" s="9">
        <v>45474</v>
      </c>
      <c r="B8" s="92">
        <v>124300</v>
      </c>
      <c r="C8" s="92">
        <v>99000</v>
      </c>
      <c r="D8" s="92">
        <v>68400</v>
      </c>
      <c r="E8" s="92">
        <f>B8-D8</f>
        <v>55900</v>
      </c>
    </row>
    <row r="9" spans="1:5" x14ac:dyDescent="0.25">
      <c r="A9" s="9">
        <v>45505</v>
      </c>
      <c r="B9" s="92">
        <v>119800</v>
      </c>
      <c r="C9" s="92">
        <v>100500</v>
      </c>
      <c r="D9" s="92">
        <v>65900</v>
      </c>
      <c r="E9" s="92">
        <f>B9-D9</f>
        <v>53900</v>
      </c>
    </row>
    <row r="10" spans="1:5" x14ac:dyDescent="0.25">
      <c r="A10" s="9">
        <v>45536</v>
      </c>
      <c r="B10" s="92">
        <v>128400</v>
      </c>
      <c r="C10" s="92">
        <v>102000</v>
      </c>
      <c r="D10" s="92">
        <v>70600</v>
      </c>
      <c r="E10" s="92">
        <f>B10-D10</f>
        <v>57800</v>
      </c>
    </row>
    <row r="11" spans="1:5" x14ac:dyDescent="0.25">
      <c r="A11" s="9">
        <v>45566</v>
      </c>
      <c r="B11" s="92">
        <v>132100</v>
      </c>
      <c r="C11" s="92">
        <v>103500</v>
      </c>
      <c r="D11" s="92">
        <v>72700</v>
      </c>
      <c r="E11" s="92">
        <f>B11-D11</f>
        <v>59400</v>
      </c>
    </row>
    <row r="12" spans="1:5" x14ac:dyDescent="0.25">
      <c r="A12" s="9">
        <v>45597</v>
      </c>
      <c r="B12" s="92">
        <v>141500</v>
      </c>
      <c r="C12" s="92">
        <v>105000</v>
      </c>
      <c r="D12" s="92">
        <v>77800</v>
      </c>
      <c r="E12" s="92">
        <f>B12-D12</f>
        <v>63700</v>
      </c>
    </row>
    <row r="13" spans="1:5" x14ac:dyDescent="0.25">
      <c r="A13" s="9">
        <v>45627</v>
      </c>
      <c r="B13" s="92">
        <v>156800</v>
      </c>
      <c r="C13" s="92">
        <v>106500</v>
      </c>
      <c r="D13" s="92">
        <v>86200</v>
      </c>
      <c r="E13" s="92">
        <f>B13-D13</f>
        <v>70600</v>
      </c>
    </row>
    <row r="14" spans="1:5" x14ac:dyDescent="0.25">
      <c r="A14" s="9">
        <v>45658</v>
      </c>
      <c r="B14" s="92">
        <v>121905</v>
      </c>
      <c r="C14" s="92">
        <v>108000</v>
      </c>
      <c r="D14" s="92">
        <v>67000</v>
      </c>
      <c r="E14" s="92">
        <f>B14-D14</f>
        <v>54905</v>
      </c>
    </row>
    <row r="15" spans="1:5" x14ac:dyDescent="0.25">
      <c r="A15" s="9">
        <v>45689</v>
      </c>
      <c r="B15" s="92">
        <v>89296</v>
      </c>
      <c r="C15" s="92">
        <v>109500</v>
      </c>
      <c r="D15" s="92">
        <v>49100</v>
      </c>
      <c r="E15" s="92">
        <f>B15-D15</f>
        <v>40196</v>
      </c>
    </row>
    <row r="16" spans="1:5" x14ac:dyDescent="0.25">
      <c r="A16" s="9">
        <v>45717</v>
      </c>
      <c r="B16" s="92">
        <v>85639</v>
      </c>
      <c r="C16" s="92">
        <v>111000</v>
      </c>
      <c r="D16" s="92">
        <v>47100</v>
      </c>
      <c r="E16" s="92">
        <f>B16-D16</f>
        <v>38539</v>
      </c>
    </row>
    <row r="17" spans="1:5" x14ac:dyDescent="0.25">
      <c r="A17" s="9">
        <v>45748</v>
      </c>
      <c r="B17" s="92">
        <v>134598</v>
      </c>
      <c r="C17" s="92">
        <v>112500</v>
      </c>
      <c r="D17" s="92">
        <v>74000</v>
      </c>
      <c r="E17" s="92">
        <f>B17-D17</f>
        <v>60598</v>
      </c>
    </row>
    <row r="18" spans="1:5" x14ac:dyDescent="0.25">
      <c r="A18" s="9">
        <v>45778</v>
      </c>
      <c r="B18" s="92">
        <v>106024</v>
      </c>
      <c r="C18" s="92">
        <v>114000</v>
      </c>
      <c r="D18" s="92">
        <v>58300</v>
      </c>
      <c r="E18" s="92">
        <f>B18-D18</f>
        <v>47724</v>
      </c>
    </row>
    <row r="19" spans="1:5" x14ac:dyDescent="0.25">
      <c r="A19" s="9">
        <v>45809</v>
      </c>
      <c r="B19" s="92">
        <v>106049</v>
      </c>
      <c r="C19" s="92">
        <v>115500</v>
      </c>
      <c r="D19" s="92">
        <v>58300</v>
      </c>
      <c r="E19" s="92">
        <f>B19-D19</f>
        <v>47749</v>
      </c>
    </row>
    <row r="20" spans="1:5" x14ac:dyDescent="0.25">
      <c r="A20" s="9">
        <v>45839</v>
      </c>
      <c r="B20" s="92">
        <v>106628</v>
      </c>
      <c r="C20" s="92">
        <v>117000</v>
      </c>
      <c r="D20" s="92">
        <v>58600</v>
      </c>
      <c r="E20" s="92">
        <f>B20-D20</f>
        <v>48028</v>
      </c>
    </row>
    <row r="21" spans="1:5" x14ac:dyDescent="0.25">
      <c r="A21" s="9">
        <v>45870</v>
      </c>
      <c r="B21" s="92">
        <v>103144</v>
      </c>
      <c r="C21" s="92">
        <v>118500</v>
      </c>
      <c r="D21" s="92">
        <v>56700</v>
      </c>
      <c r="E21" s="92">
        <f>B21-D21</f>
        <v>46444</v>
      </c>
    </row>
    <row r="22" spans="1:5" x14ac:dyDescent="0.25">
      <c r="A22" s="9">
        <v>45901</v>
      </c>
      <c r="B22" s="92">
        <v>144265</v>
      </c>
      <c r="C22" s="92">
        <v>120000</v>
      </c>
      <c r="D22" s="92">
        <v>79300</v>
      </c>
      <c r="E22" s="92">
        <f>B22-D22</f>
        <v>64965</v>
      </c>
    </row>
    <row r="23" spans="1:5" x14ac:dyDescent="0.25">
      <c r="A23" s="9">
        <v>45931</v>
      </c>
      <c r="B23" s="92">
        <v>104717</v>
      </c>
      <c r="C23" s="92">
        <v>121500</v>
      </c>
      <c r="D23" s="92">
        <v>57600</v>
      </c>
      <c r="E23" s="92">
        <f>B23-D23</f>
        <v>47117</v>
      </c>
    </row>
    <row r="24" spans="1:5" x14ac:dyDescent="0.25">
      <c r="A24" s="9">
        <v>45962</v>
      </c>
      <c r="B24" s="92">
        <v>144348</v>
      </c>
      <c r="C24" s="92">
        <v>123000</v>
      </c>
      <c r="D24" s="92">
        <v>79400</v>
      </c>
      <c r="E24" s="92">
        <f>B24-D24</f>
        <v>64948</v>
      </c>
    </row>
    <row r="25" spans="1:5" x14ac:dyDescent="0.25">
      <c r="A25" s="9">
        <v>45992</v>
      </c>
      <c r="B25" s="92">
        <v>150540</v>
      </c>
      <c r="C25" s="92">
        <v>124500</v>
      </c>
      <c r="D25" s="92">
        <v>82800</v>
      </c>
      <c r="E25" s="92">
        <f>B25-D25</f>
        <v>67740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s="1" t="s">
        <v>5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7</v>
      </c>
      <c r="B2" s="93">
        <v>1245000</v>
      </c>
      <c r="C2" s="93">
        <v>1150000</v>
      </c>
      <c r="D2">
        <v>12</v>
      </c>
    </row>
    <row r="3" spans="1:4" x14ac:dyDescent="0.25">
      <c r="A3" t="s">
        <v>8</v>
      </c>
      <c r="B3" s="93">
        <v>685000</v>
      </c>
      <c r="C3" s="93">
        <v>720000</v>
      </c>
      <c r="D3">
        <v>7</v>
      </c>
    </row>
    <row r="4" spans="1:4" x14ac:dyDescent="0.25">
      <c r="A4" t="s">
        <v>9</v>
      </c>
      <c r="B4" s="93">
        <v>1098000</v>
      </c>
      <c r="C4" s="93">
        <v>980000</v>
      </c>
      <c r="D4">
        <v>14</v>
      </c>
    </row>
    <row r="5" spans="1:4" x14ac:dyDescent="0.25">
      <c r="A5" t="s">
        <v>10</v>
      </c>
      <c r="B5" s="93">
        <v>542000</v>
      </c>
      <c r="C5" s="93">
        <v>580000</v>
      </c>
      <c r="D5">
        <v>6</v>
      </c>
    </row>
    <row r="6" spans="1:4" x14ac:dyDescent="0.25">
      <c r="A6" t="s">
        <v>11</v>
      </c>
      <c r="B6" s="93">
        <v>875000</v>
      </c>
      <c r="C6" s="93">
        <v>820000</v>
      </c>
      <c r="D6">
        <v>9</v>
      </c>
    </row>
    <row r="7" spans="1:4" x14ac:dyDescent="0.25">
      <c r="A7" t="s">
        <v>12</v>
      </c>
      <c r="B7" s="93">
        <v>612000</v>
      </c>
      <c r="C7" s="93">
        <v>650000</v>
      </c>
      <c r="D7">
        <v>8</v>
      </c>
    </row>
    <row r="8" spans="1:4" x14ac:dyDescent="0.25">
      <c r="A8" t="s">
        <v>13</v>
      </c>
      <c r="B8" s="93">
        <v>428000</v>
      </c>
      <c r="C8" s="93">
        <v>410000</v>
      </c>
      <c r="D8">
        <v>5</v>
      </c>
    </row>
    <row r="9" spans="1:4" x14ac:dyDescent="0.25">
      <c r="A9" t="s">
        <v>14</v>
      </c>
      <c r="B9" s="93">
        <v>295000</v>
      </c>
      <c r="C9" s="93">
        <v>340000</v>
      </c>
      <c r="D9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79F5-5DBB-4F17-9C3C-BA00C6790E7E}">
  <dimension ref="A1:D11"/>
  <sheetViews>
    <sheetView workbookViewId="0"/>
  </sheetViews>
  <sheetFormatPr defaultRowHeight="15" x14ac:dyDescent="0.25"/>
  <cols>
    <col min="1" max="4" width="22.85546875" customWidth="1"/>
  </cols>
  <sheetData>
    <row r="1" spans="1:4" x14ac:dyDescent="0.25">
      <c r="A1" s="1" t="s">
        <v>17</v>
      </c>
      <c r="B1" s="1" t="s">
        <v>18</v>
      </c>
      <c r="C1" s="1" t="s">
        <v>1</v>
      </c>
      <c r="D1" s="1" t="s">
        <v>19</v>
      </c>
    </row>
    <row r="2" spans="1:4" x14ac:dyDescent="0.25">
      <c r="A2" t="s">
        <v>20</v>
      </c>
      <c r="B2" s="3">
        <v>4250</v>
      </c>
      <c r="C2" s="93">
        <v>892500</v>
      </c>
      <c r="D2" s="2">
        <v>0.68</v>
      </c>
    </row>
    <row r="3" spans="1:4" x14ac:dyDescent="0.25">
      <c r="A3" t="s">
        <v>21</v>
      </c>
      <c r="B3" s="3">
        <v>3180</v>
      </c>
      <c r="C3" s="93">
        <v>715500</v>
      </c>
      <c r="D3" s="2">
        <v>0.72</v>
      </c>
    </row>
    <row r="4" spans="1:4" x14ac:dyDescent="0.25">
      <c r="A4" t="s">
        <v>22</v>
      </c>
      <c r="B4" s="3">
        <v>2940</v>
      </c>
      <c r="C4" s="93">
        <v>661500</v>
      </c>
      <c r="D4" s="2">
        <v>0.65</v>
      </c>
    </row>
    <row r="5" spans="1:4" x14ac:dyDescent="0.25">
      <c r="A5" t="s">
        <v>23</v>
      </c>
      <c r="B5" s="3">
        <v>2615</v>
      </c>
      <c r="C5" s="93">
        <v>588375</v>
      </c>
      <c r="D5" s="2">
        <v>0.74</v>
      </c>
    </row>
    <row r="6" spans="1:4" x14ac:dyDescent="0.25">
      <c r="A6" t="s">
        <v>24</v>
      </c>
      <c r="B6" s="3">
        <v>2480</v>
      </c>
      <c r="C6" s="93">
        <v>558000</v>
      </c>
      <c r="D6" s="2">
        <v>0.7</v>
      </c>
    </row>
    <row r="7" spans="1:4" x14ac:dyDescent="0.25">
      <c r="A7" t="s">
        <v>25</v>
      </c>
      <c r="B7" s="3">
        <v>2105</v>
      </c>
      <c r="C7" s="93">
        <v>473625</v>
      </c>
      <c r="D7" s="2">
        <v>0.66</v>
      </c>
    </row>
    <row r="8" spans="1:4" x14ac:dyDescent="0.25">
      <c r="A8" t="s">
        <v>26</v>
      </c>
      <c r="B8" s="3">
        <v>1890</v>
      </c>
      <c r="C8" s="93">
        <v>425250</v>
      </c>
      <c r="D8" s="2">
        <v>0.63</v>
      </c>
    </row>
    <row r="9" spans="1:4" x14ac:dyDescent="0.25">
      <c r="A9" t="s">
        <v>27</v>
      </c>
      <c r="B9" s="3">
        <v>1560</v>
      </c>
      <c r="C9" s="93">
        <v>351000</v>
      </c>
      <c r="D9" s="2">
        <v>0.57999999999999996</v>
      </c>
    </row>
    <row r="10" spans="1:4" x14ac:dyDescent="0.25">
      <c r="A10" t="s">
        <v>28</v>
      </c>
      <c r="B10" s="3">
        <v>1340</v>
      </c>
      <c r="C10" s="93">
        <v>301500</v>
      </c>
      <c r="D10" s="2">
        <v>0.61</v>
      </c>
    </row>
    <row r="11" spans="1:4" x14ac:dyDescent="0.25">
      <c r="A11" t="s">
        <v>29</v>
      </c>
      <c r="B11" s="3">
        <v>1085</v>
      </c>
      <c r="C11" s="93">
        <v>244125</v>
      </c>
      <c r="D11" s="2">
        <v>0.55000000000000004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339D-BDAD-4D64-A0C4-68BF51E2B8E6}">
  <dimension ref="A1:E11"/>
  <sheetViews>
    <sheetView workbookViewId="0"/>
  </sheetViews>
  <sheetFormatPr defaultRowHeight="15" x14ac:dyDescent="0.25"/>
  <cols>
    <col min="1" max="5" width="24.7109375" customWidth="1"/>
  </cols>
  <sheetData>
    <row r="1" spans="1:5" x14ac:dyDescent="0.25">
      <c r="A1" s="1" t="s">
        <v>30</v>
      </c>
      <c r="B1" s="1" t="s">
        <v>5</v>
      </c>
      <c r="C1" s="1" t="s">
        <v>31</v>
      </c>
      <c r="D1" s="1" t="s">
        <v>1</v>
      </c>
      <c r="E1" s="1" t="s">
        <v>32</v>
      </c>
    </row>
    <row r="2" spans="1:5" x14ac:dyDescent="0.25">
      <c r="A2" t="s">
        <v>33</v>
      </c>
      <c r="B2" t="s">
        <v>9</v>
      </c>
      <c r="C2">
        <v>142</v>
      </c>
      <c r="D2" s="93">
        <v>612400</v>
      </c>
      <c r="E2" s="2">
        <v>1.24</v>
      </c>
    </row>
    <row r="3" spans="1:5" x14ac:dyDescent="0.25">
      <c r="A3" t="s">
        <v>34</v>
      </c>
      <c r="B3" t="s">
        <v>11</v>
      </c>
      <c r="C3">
        <v>128</v>
      </c>
      <c r="D3" s="93">
        <v>558900</v>
      </c>
      <c r="E3" s="2">
        <v>1.18</v>
      </c>
    </row>
    <row r="4" spans="1:5" x14ac:dyDescent="0.25">
      <c r="A4" t="s">
        <v>35</v>
      </c>
      <c r="B4" t="s">
        <v>7</v>
      </c>
      <c r="C4">
        <v>156</v>
      </c>
      <c r="D4" s="93">
        <v>698200</v>
      </c>
      <c r="E4" s="2">
        <v>1.32</v>
      </c>
    </row>
    <row r="5" spans="1:5" x14ac:dyDescent="0.25">
      <c r="A5" t="s">
        <v>36</v>
      </c>
      <c r="B5" t="s">
        <v>14</v>
      </c>
      <c r="C5">
        <v>89</v>
      </c>
      <c r="D5" s="93">
        <v>312500</v>
      </c>
      <c r="E5" s="2">
        <v>0.94</v>
      </c>
    </row>
    <row r="6" spans="1:5" x14ac:dyDescent="0.25">
      <c r="A6" t="s">
        <v>37</v>
      </c>
      <c r="B6" t="s">
        <v>12</v>
      </c>
      <c r="C6">
        <v>118</v>
      </c>
      <c r="D6" s="93">
        <v>489700</v>
      </c>
      <c r="E6" s="2">
        <v>1.08</v>
      </c>
    </row>
    <row r="7" spans="1:5" x14ac:dyDescent="0.25">
      <c r="A7" t="s">
        <v>38</v>
      </c>
      <c r="B7" t="s">
        <v>10</v>
      </c>
      <c r="C7">
        <v>96</v>
      </c>
      <c r="D7" s="93">
        <v>358200</v>
      </c>
      <c r="E7" s="2">
        <v>0.89</v>
      </c>
    </row>
    <row r="8" spans="1:5" x14ac:dyDescent="0.25">
      <c r="A8" t="s">
        <v>39</v>
      </c>
      <c r="B8" t="s">
        <v>11</v>
      </c>
      <c r="C8">
        <v>134</v>
      </c>
      <c r="D8" s="93">
        <v>592800</v>
      </c>
      <c r="E8" s="2">
        <v>1.21</v>
      </c>
    </row>
    <row r="9" spans="1:5" x14ac:dyDescent="0.25">
      <c r="A9" t="s">
        <v>40</v>
      </c>
      <c r="B9" t="s">
        <v>8</v>
      </c>
      <c r="C9">
        <v>102</v>
      </c>
      <c r="D9" s="93">
        <v>412600</v>
      </c>
      <c r="E9" s="2">
        <v>0.97</v>
      </c>
    </row>
    <row r="10" spans="1:5" x14ac:dyDescent="0.25">
      <c r="A10" t="s">
        <v>41</v>
      </c>
      <c r="B10" t="s">
        <v>13</v>
      </c>
      <c r="C10">
        <v>115</v>
      </c>
      <c r="D10" s="93">
        <v>478300</v>
      </c>
      <c r="E10" s="2">
        <v>1.1200000000000001</v>
      </c>
    </row>
    <row r="11" spans="1:5" x14ac:dyDescent="0.25">
      <c r="A11" t="s">
        <v>42</v>
      </c>
      <c r="B11" t="s">
        <v>7</v>
      </c>
      <c r="C11">
        <v>148</v>
      </c>
      <c r="D11" s="93">
        <v>654100</v>
      </c>
      <c r="E11" s="2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Regions</vt:lpstr>
      <vt:lpstr>Products</vt:lpstr>
      <vt:lpstr>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Raza</cp:lastModifiedBy>
  <dcterms:created xsi:type="dcterms:W3CDTF">2026-05-10T10:23:55Z</dcterms:created>
  <dcterms:modified xsi:type="dcterms:W3CDTF">2026-05-14T10:26:21Z</dcterms:modified>
</cp:coreProperties>
</file>