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shboard" sheetId="1" state="visible" r:id="rId3"/>
    <sheet name="Stock" sheetId="2" state="visible" r:id="rId4"/>
  </sheets>
  <definedNames>
    <definedName function="false" hidden="false" localSheetId="1" name="_xlnm.Print_Titles" vbProcedure="false">Stock!$1:$1</definedName>
    <definedName function="false" hidden="true" localSheetId="1" name="_xlnm._FilterDatabase" vbProcedure="false">Stock!$A$1:$K$101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<sst xmlns="http://schemas.openxmlformats.org/spreadsheetml/2006/main" count="542" uniqueCount="246">
  <si>
    <t xml:space="preserve">INVENTORY MANAGEMENT DASHBOARD</t>
  </si>
  <si>
    <t xml:space="preserve">  Real-time SKU status · stock valuation · top performers · refreshable via Stock sheet</t>
  </si>
  <si>
    <t xml:space="preserve">TOTAL SKUs</t>
  </si>
  <si>
    <t xml:space="preserve">STOCK VALUE</t>
  </si>
  <si>
    <t xml:space="preserve">LOW STOCK</t>
  </si>
  <si>
    <t xml:space="preserve">OUT OF STOCK</t>
  </si>
  <si>
    <t xml:space="preserve">AVG DAYS COVER</t>
  </si>
  <si>
    <t xml:space="preserve">TOP 10 SKUs BY STOCK VALUE</t>
  </si>
  <si>
    <t xml:space="preserve">STATUS BREAKDOWN</t>
  </si>
  <si>
    <t xml:space="preserve">SKU</t>
  </si>
  <si>
    <t xml:space="preserve">Product</t>
  </si>
  <si>
    <t xml:space="preserve">Category</t>
  </si>
  <si>
    <t xml:space="preserve">Qty</t>
  </si>
  <si>
    <t xml:space="preserve">Unit Cost</t>
  </si>
  <si>
    <t xml:space="preserve">Total Value</t>
  </si>
  <si>
    <t xml:space="preserve">Status</t>
  </si>
  <si>
    <t xml:space="preserve">Count</t>
  </si>
  <si>
    <t xml:space="preserve">OK</t>
  </si>
  <si>
    <t xml:space="preserve">Low</t>
  </si>
  <si>
    <t xml:space="preserve">Out</t>
  </si>
  <si>
    <t xml:space="preserve">CATEGORY &amp; STATUS INSIGHTS</t>
  </si>
  <si>
    <t xml:space="preserve">Category Summary (auto)</t>
  </si>
  <si>
    <t xml:space="preserve">SKU Count</t>
  </si>
  <si>
    <t xml:space="preserve">Apparel</t>
  </si>
  <si>
    <t xml:space="preserve">Home</t>
  </si>
  <si>
    <t xml:space="preserve">Electronics</t>
  </si>
  <si>
    <t xml:space="preserve">Beauty</t>
  </si>
  <si>
    <t xml:space="preserve">Sports</t>
  </si>
  <si>
    <t xml:space="preserve">Books</t>
  </si>
  <si>
    <t xml:space="preserve">Supplier</t>
  </si>
  <si>
    <t xml:space="preserve">Qty On Hand</t>
  </si>
  <si>
    <t xml:space="preserve">Reorder Point</t>
  </si>
  <si>
    <t xml:space="preserve">Days Cover</t>
  </si>
  <si>
    <t xml:space="preserve">Lead Time (days)</t>
  </si>
  <si>
    <t xml:space="preserve">SKU-1001</t>
  </si>
  <si>
    <t xml:space="preserve">Product 1</t>
  </si>
  <si>
    <t xml:space="preserve">Supplier-4</t>
  </si>
  <si>
    <t xml:space="preserve">SKU-1002</t>
  </si>
  <si>
    <t xml:space="preserve">Product 2</t>
  </si>
  <si>
    <t xml:space="preserve">Supplier-3</t>
  </si>
  <si>
    <t xml:space="preserve">SKU-1003</t>
  </si>
  <si>
    <t xml:space="preserve">Product 3</t>
  </si>
  <si>
    <t xml:space="preserve">SKU-1004</t>
  </si>
  <si>
    <t xml:space="preserve">Product 4</t>
  </si>
  <si>
    <t xml:space="preserve">Supplier-11</t>
  </si>
  <si>
    <t xml:space="preserve">SKU-1005</t>
  </si>
  <si>
    <t xml:space="preserve">Product 5</t>
  </si>
  <si>
    <t xml:space="preserve">Supplier-2</t>
  </si>
  <si>
    <t xml:space="preserve">SKU-1006</t>
  </si>
  <si>
    <t xml:space="preserve">Product 6</t>
  </si>
  <si>
    <t xml:space="preserve">Supplier-9</t>
  </si>
  <si>
    <t xml:space="preserve">SKU-1007</t>
  </si>
  <si>
    <t xml:space="preserve">Product 7</t>
  </si>
  <si>
    <t xml:space="preserve">SKU-1008</t>
  </si>
  <si>
    <t xml:space="preserve">Product 8</t>
  </si>
  <si>
    <t xml:space="preserve">Supplier-5</t>
  </si>
  <si>
    <t xml:space="preserve">SKU-1009</t>
  </si>
  <si>
    <t xml:space="preserve">Product 9</t>
  </si>
  <si>
    <t xml:space="preserve">Supplier-10</t>
  </si>
  <si>
    <t xml:space="preserve">SKU-1010</t>
  </si>
  <si>
    <t xml:space="preserve">Product 10</t>
  </si>
  <si>
    <t xml:space="preserve">Supplier-8</t>
  </si>
  <si>
    <t xml:space="preserve">SKU-1011</t>
  </si>
  <si>
    <t xml:space="preserve">Product 11</t>
  </si>
  <si>
    <t xml:space="preserve">SKU-1012</t>
  </si>
  <si>
    <t xml:space="preserve">Product 12</t>
  </si>
  <si>
    <t xml:space="preserve">SKU-1013</t>
  </si>
  <si>
    <t xml:space="preserve">Product 13</t>
  </si>
  <si>
    <t xml:space="preserve">SKU-1014</t>
  </si>
  <si>
    <t xml:space="preserve">Product 14</t>
  </si>
  <si>
    <t xml:space="preserve">SKU-1015</t>
  </si>
  <si>
    <t xml:space="preserve">Product 15</t>
  </si>
  <si>
    <t xml:space="preserve">SKU-1016</t>
  </si>
  <si>
    <t xml:space="preserve">Product 16</t>
  </si>
  <si>
    <t xml:space="preserve">Supplier-12</t>
  </si>
  <si>
    <t xml:space="preserve">SKU-1017</t>
  </si>
  <si>
    <t xml:space="preserve">Product 17</t>
  </si>
  <si>
    <t xml:space="preserve">SKU-1018</t>
  </si>
  <si>
    <t xml:space="preserve">Product 18</t>
  </si>
  <si>
    <t xml:space="preserve">SKU-1019</t>
  </si>
  <si>
    <t xml:space="preserve">Product 19</t>
  </si>
  <si>
    <t xml:space="preserve">Supplier-7</t>
  </si>
  <si>
    <t xml:space="preserve">SKU-1020</t>
  </si>
  <si>
    <t xml:space="preserve">Product 20</t>
  </si>
  <si>
    <t xml:space="preserve">SKU-1021</t>
  </si>
  <si>
    <t xml:space="preserve">Product 21</t>
  </si>
  <si>
    <t xml:space="preserve">SKU-1022</t>
  </si>
  <si>
    <t xml:space="preserve">Product 22</t>
  </si>
  <si>
    <t xml:space="preserve">SKU-1023</t>
  </si>
  <si>
    <t xml:space="preserve">Product 23</t>
  </si>
  <si>
    <t xml:space="preserve">SKU-1024</t>
  </si>
  <si>
    <t xml:space="preserve">Product 24</t>
  </si>
  <si>
    <t xml:space="preserve">SKU-1025</t>
  </si>
  <si>
    <t xml:space="preserve">Product 25</t>
  </si>
  <si>
    <t xml:space="preserve">SKU-1026</t>
  </si>
  <si>
    <t xml:space="preserve">Product 26</t>
  </si>
  <si>
    <t xml:space="preserve">SKU-1027</t>
  </si>
  <si>
    <t xml:space="preserve">Product 27</t>
  </si>
  <si>
    <t xml:space="preserve">Supplier-6</t>
  </si>
  <si>
    <t xml:space="preserve">SKU-1028</t>
  </si>
  <si>
    <t xml:space="preserve">Product 28</t>
  </si>
  <si>
    <t xml:space="preserve">SKU-1029</t>
  </si>
  <si>
    <t xml:space="preserve">Product 29</t>
  </si>
  <si>
    <t xml:space="preserve">SKU-1030</t>
  </si>
  <si>
    <t xml:space="preserve">Product 30</t>
  </si>
  <si>
    <t xml:space="preserve">SKU-1031</t>
  </si>
  <si>
    <t xml:space="preserve">Product 31</t>
  </si>
  <si>
    <t xml:space="preserve">SKU-1032</t>
  </si>
  <si>
    <t xml:space="preserve">Product 32</t>
  </si>
  <si>
    <t xml:space="preserve">SKU-1033</t>
  </si>
  <si>
    <t xml:space="preserve">Product 33</t>
  </si>
  <si>
    <t xml:space="preserve">SKU-1034</t>
  </si>
  <si>
    <t xml:space="preserve">Product 34</t>
  </si>
  <si>
    <t xml:space="preserve">SKU-1035</t>
  </si>
  <si>
    <t xml:space="preserve">Product 35</t>
  </si>
  <si>
    <t xml:space="preserve">SKU-1036</t>
  </si>
  <si>
    <t xml:space="preserve">Product 36</t>
  </si>
  <si>
    <t xml:space="preserve">SKU-1037</t>
  </si>
  <si>
    <t xml:space="preserve">Product 37</t>
  </si>
  <si>
    <t xml:space="preserve">SKU-1038</t>
  </si>
  <si>
    <t xml:space="preserve">Product 38</t>
  </si>
  <si>
    <t xml:space="preserve">SKU-1039</t>
  </si>
  <si>
    <t xml:space="preserve">Product 39</t>
  </si>
  <si>
    <t xml:space="preserve">SKU-1040</t>
  </si>
  <si>
    <t xml:space="preserve">Product 40</t>
  </si>
  <si>
    <t xml:space="preserve">SKU-1041</t>
  </si>
  <si>
    <t xml:space="preserve">Product 41</t>
  </si>
  <si>
    <t xml:space="preserve">SKU-1042</t>
  </si>
  <si>
    <t xml:space="preserve">Product 42</t>
  </si>
  <si>
    <t xml:space="preserve">SKU-1043</t>
  </si>
  <si>
    <t xml:space="preserve">Product 43</t>
  </si>
  <si>
    <t xml:space="preserve">SKU-1044</t>
  </si>
  <si>
    <t xml:space="preserve">Product 44</t>
  </si>
  <si>
    <t xml:space="preserve">SKU-1045</t>
  </si>
  <si>
    <t xml:space="preserve">Product 45</t>
  </si>
  <si>
    <t xml:space="preserve">Supplier-1</t>
  </si>
  <si>
    <t xml:space="preserve">SKU-1046</t>
  </si>
  <si>
    <t xml:space="preserve">Product 46</t>
  </si>
  <si>
    <t xml:space="preserve">SKU-1047</t>
  </si>
  <si>
    <t xml:space="preserve">Product 47</t>
  </si>
  <si>
    <t xml:space="preserve">SKU-1048</t>
  </si>
  <si>
    <t xml:space="preserve">Product 48</t>
  </si>
  <si>
    <t xml:space="preserve">SKU-1049</t>
  </si>
  <si>
    <t xml:space="preserve">Product 49</t>
  </si>
  <si>
    <t xml:space="preserve">SKU-1050</t>
  </si>
  <si>
    <t xml:space="preserve">Product 50</t>
  </si>
  <si>
    <t xml:space="preserve">SKU-1051</t>
  </si>
  <si>
    <t xml:space="preserve">Product 51</t>
  </si>
  <si>
    <t xml:space="preserve">SKU-1052</t>
  </si>
  <si>
    <t xml:space="preserve">Product 52</t>
  </si>
  <si>
    <t xml:space="preserve">SKU-1053</t>
  </si>
  <si>
    <t xml:space="preserve">Product 53</t>
  </si>
  <si>
    <t xml:space="preserve">SKU-1054</t>
  </si>
  <si>
    <t xml:space="preserve">Product 54</t>
  </si>
  <si>
    <t xml:space="preserve">SKU-1055</t>
  </si>
  <si>
    <t xml:space="preserve">Product 55</t>
  </si>
  <si>
    <t xml:space="preserve">SKU-1056</t>
  </si>
  <si>
    <t xml:space="preserve">Product 56</t>
  </si>
  <si>
    <t xml:space="preserve">SKU-1057</t>
  </si>
  <si>
    <t xml:space="preserve">Product 57</t>
  </si>
  <si>
    <t xml:space="preserve">SKU-1058</t>
  </si>
  <si>
    <t xml:space="preserve">Product 58</t>
  </si>
  <si>
    <t xml:space="preserve">SKU-1059</t>
  </si>
  <si>
    <t xml:space="preserve">Product 59</t>
  </si>
  <si>
    <t xml:space="preserve">SKU-1060</t>
  </si>
  <si>
    <t xml:space="preserve">Product 60</t>
  </si>
  <si>
    <t xml:space="preserve">SKU-1061</t>
  </si>
  <si>
    <t xml:space="preserve">Product 61</t>
  </si>
  <si>
    <t xml:space="preserve">SKU-1062</t>
  </si>
  <si>
    <t xml:space="preserve">Product 62</t>
  </si>
  <si>
    <t xml:space="preserve">SKU-1063</t>
  </si>
  <si>
    <t xml:space="preserve">Product 63</t>
  </si>
  <si>
    <t xml:space="preserve">SKU-1064</t>
  </si>
  <si>
    <t xml:space="preserve">Product 64</t>
  </si>
  <si>
    <t xml:space="preserve">SKU-1065</t>
  </si>
  <si>
    <t xml:space="preserve">Product 65</t>
  </si>
  <si>
    <t xml:space="preserve">SKU-1066</t>
  </si>
  <si>
    <t xml:space="preserve">Product 66</t>
  </si>
  <si>
    <t xml:space="preserve">SKU-1067</t>
  </si>
  <si>
    <t xml:space="preserve">Product 67</t>
  </si>
  <si>
    <t xml:space="preserve">SKU-1068</t>
  </si>
  <si>
    <t xml:space="preserve">Product 68</t>
  </si>
  <si>
    <t xml:space="preserve">SKU-1069</t>
  </si>
  <si>
    <t xml:space="preserve">Product 69</t>
  </si>
  <si>
    <t xml:space="preserve">SKU-1070</t>
  </si>
  <si>
    <t xml:space="preserve">Product 70</t>
  </si>
  <si>
    <t xml:space="preserve">SKU-1071</t>
  </si>
  <si>
    <t xml:space="preserve">Product 71</t>
  </si>
  <si>
    <t xml:space="preserve">SKU-1072</t>
  </si>
  <si>
    <t xml:space="preserve">Product 72</t>
  </si>
  <si>
    <t xml:space="preserve">SKU-1073</t>
  </si>
  <si>
    <t xml:space="preserve">Product 73</t>
  </si>
  <si>
    <t xml:space="preserve">SKU-1074</t>
  </si>
  <si>
    <t xml:space="preserve">Product 74</t>
  </si>
  <si>
    <t xml:space="preserve">SKU-1075</t>
  </si>
  <si>
    <t xml:space="preserve">Product 75</t>
  </si>
  <si>
    <t xml:space="preserve">SKU-1076</t>
  </si>
  <si>
    <t xml:space="preserve">Product 76</t>
  </si>
  <si>
    <t xml:space="preserve">SKU-1077</t>
  </si>
  <si>
    <t xml:space="preserve">Product 77</t>
  </si>
  <si>
    <t xml:space="preserve">SKU-1078</t>
  </si>
  <si>
    <t xml:space="preserve">Product 78</t>
  </si>
  <si>
    <t xml:space="preserve">SKU-1079</t>
  </si>
  <si>
    <t xml:space="preserve">Product 79</t>
  </si>
  <si>
    <t xml:space="preserve">SKU-1080</t>
  </si>
  <si>
    <t xml:space="preserve">Product 80</t>
  </si>
  <si>
    <t xml:space="preserve">SKU-1081</t>
  </si>
  <si>
    <t xml:space="preserve">Product 81</t>
  </si>
  <si>
    <t xml:space="preserve">SKU-1082</t>
  </si>
  <si>
    <t xml:space="preserve">Product 82</t>
  </si>
  <si>
    <t xml:space="preserve">SKU-1083</t>
  </si>
  <si>
    <t xml:space="preserve">Product 83</t>
  </si>
  <si>
    <t xml:space="preserve">SKU-1084</t>
  </si>
  <si>
    <t xml:space="preserve">Product 84</t>
  </si>
  <si>
    <t xml:space="preserve">SKU-1085</t>
  </si>
  <si>
    <t xml:space="preserve">Product 85</t>
  </si>
  <si>
    <t xml:space="preserve">SKU-1086</t>
  </si>
  <si>
    <t xml:space="preserve">Product 86</t>
  </si>
  <si>
    <t xml:space="preserve">SKU-1087</t>
  </si>
  <si>
    <t xml:space="preserve">Product 87</t>
  </si>
  <si>
    <t xml:space="preserve">SKU-1088</t>
  </si>
  <si>
    <t xml:space="preserve">Product 88</t>
  </si>
  <si>
    <t xml:space="preserve">SKU-1089</t>
  </si>
  <si>
    <t xml:space="preserve">Product 89</t>
  </si>
  <si>
    <t xml:space="preserve">SKU-1090</t>
  </si>
  <si>
    <t xml:space="preserve">Product 90</t>
  </si>
  <si>
    <t xml:space="preserve">SKU-1091</t>
  </si>
  <si>
    <t xml:space="preserve">Product 91</t>
  </si>
  <si>
    <t xml:space="preserve">SKU-1092</t>
  </si>
  <si>
    <t xml:space="preserve">Product 92</t>
  </si>
  <si>
    <t xml:space="preserve">SKU-1093</t>
  </si>
  <si>
    <t xml:space="preserve">Product 93</t>
  </si>
  <si>
    <t xml:space="preserve">SKU-1094</t>
  </si>
  <si>
    <t xml:space="preserve">Product 94</t>
  </si>
  <si>
    <t xml:space="preserve">SKU-1095</t>
  </si>
  <si>
    <t xml:space="preserve">Product 95</t>
  </si>
  <si>
    <t xml:space="preserve">SKU-1096</t>
  </si>
  <si>
    <t xml:space="preserve">Product 96</t>
  </si>
  <si>
    <t xml:space="preserve">SKU-1097</t>
  </si>
  <si>
    <t xml:space="preserve">Product 97</t>
  </si>
  <si>
    <t xml:space="preserve">SKU-1098</t>
  </si>
  <si>
    <t xml:space="preserve">Product 98</t>
  </si>
  <si>
    <t xml:space="preserve">SKU-1099</t>
  </si>
  <si>
    <t xml:space="preserve">Product 99</t>
  </si>
  <si>
    <t xml:space="preserve">SKU-1100</t>
  </si>
  <si>
    <t xml:space="preserve">Product 100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</si>
</sst>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"/>
    <numFmt numFmtId="168" formatCode="General"/>
    <numFmt numFmtId="169" formatCode="#,##0;\(#,##0\);\-"/>
    <numFmt numFmtId="170" formatCode="\$#,##0;&quot;($&quot;#,##0\);\-"/>
    <numFmt numFmtId="171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2"/>
      <color rgb="FF14532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1"/>
      <color rgb="FF065F46"/>
      <name val="Calibri"/>
      <family val="0"/>
      <charset val="1"/>
    </font>
    <font>
      <b val="true"/>
      <sz val="11"/>
      <color rgb="FF92400E"/>
      <name val="Calibri"/>
      <family val="0"/>
      <charset val="1"/>
    </font>
    <font>
      <b val="true"/>
      <sz val="11"/>
      <color rgb="FF991B1B"/>
      <name val="Calibri"/>
      <family val="0"/>
      <charset val="1"/>
    </font>
    <font>
      <i val="true"/>
      <sz val="9"/>
      <color rgb="FF57534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4532D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6534"/>
        <bgColor rgb="FF065F46"/>
      </patternFill>
    </fill>
    <fill>
      <patternFill patternType="solid">
        <fgColor rgb="FFD97706"/>
        <bgColor rgb="FFFF9900"/>
      </patternFill>
    </fill>
    <fill>
      <patternFill patternType="solid">
        <fgColor rgb="FF14532D"/>
        <bgColor rgb="FF166534"/>
      </patternFill>
    </fill>
    <fill>
      <patternFill patternType="solid">
        <fgColor rgb="FFF0FDF4"/>
        <bgColor rgb="FFFAFBF8"/>
      </patternFill>
    </fill>
    <fill>
      <patternFill patternType="solid">
        <fgColor rgb="FFD1FAE5"/>
        <bgColor rgb="FFC6EFCE"/>
      </patternFill>
    </fill>
    <fill>
      <patternFill patternType="solid">
        <fgColor rgb="FFFAFBF8"/>
        <bgColor rgb="FFFFFFFF"/>
      </patternFill>
    </fill>
    <fill>
      <patternFill patternType="solid">
        <fgColor rgb="FFFEF3C7"/>
        <bgColor rgb="FFFFEB9C"/>
      </patternFill>
    </fill>
    <fill>
      <patternFill patternType="solid">
        <fgColor rgb="FFFEE2E2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D97706"/>
      </left>
      <right/>
      <top/>
      <bottom style="thin">
        <color rgb="FFD97706"/>
      </bottom>
      <diagonal/>
    </border>
    <border diagonalUp="false" diagonalDown="false"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2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7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12" fillId="7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12" fillId="7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7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12" fillId="0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12" fillId="0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2">
    <dxf>
      <fill>
        <patternFill patternType="solid">
          <fgColor rgb="FF166534"/>
          <bgColor rgb="FF000000"/>
        </patternFill>
      </fill>
    </dxf>
    <dxf>
      <fill>
        <patternFill patternType="solid">
          <fgColor rgb="FFFAFB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9F8DF"/>
          <bgColor rgb="FF000000"/>
        </patternFill>
      </fill>
    </dxf>
    <dxf>
      <fill>
        <patternFill patternType="solid">
          <fgColor rgb="FFDBF8DE"/>
          <bgColor rgb="FF000000"/>
        </patternFill>
      </fill>
    </dxf>
    <dxf>
      <fill>
        <patternFill patternType="solid">
          <fgColor rgb="FFE0F7DB"/>
          <bgColor rgb="FF000000"/>
        </patternFill>
      </fill>
    </dxf>
    <dxf>
      <fill>
        <patternFill patternType="solid">
          <fgColor rgb="FFE1F7DA"/>
          <bgColor rgb="FF000000"/>
        </patternFill>
      </fill>
    </dxf>
    <dxf>
      <fill>
        <patternFill patternType="solid">
          <fgColor rgb="FFE2F7D9"/>
          <bgColor rgb="FF000000"/>
        </patternFill>
      </fill>
    </dxf>
    <dxf>
      <fill>
        <patternFill patternType="solid">
          <fgColor rgb="FFE7F6D6"/>
          <bgColor rgb="FF000000"/>
        </patternFill>
      </fill>
    </dxf>
    <dxf>
      <fill>
        <patternFill patternType="solid">
          <fgColor rgb="FFE8F6D5"/>
          <bgColor rgb="FF000000"/>
        </patternFill>
      </fill>
    </dxf>
    <dxf>
      <fill>
        <patternFill patternType="solid">
          <fgColor rgb="FFECF5D2"/>
          <bgColor rgb="FF000000"/>
        </patternFill>
      </fill>
    </dxf>
    <dxf>
      <fill>
        <patternFill patternType="solid">
          <fgColor rgb="FFECF5D3"/>
          <bgColor rgb="FF000000"/>
        </patternFill>
      </fill>
    </dxf>
    <dxf>
      <fill>
        <patternFill patternType="solid">
          <fgColor rgb="FFEEF5D2"/>
          <bgColor rgb="FF000000"/>
        </patternFill>
      </fill>
    </dxf>
    <dxf>
      <fill>
        <patternFill patternType="solid">
          <fgColor rgb="FFEFF5D1"/>
          <bgColor rgb="FF000000"/>
        </patternFill>
      </fill>
    </dxf>
    <dxf>
      <fill>
        <patternFill patternType="solid">
          <fgColor rgb="FFF1F5CF"/>
          <bgColor rgb="FF000000"/>
        </patternFill>
      </fill>
    </dxf>
    <dxf>
      <fill>
        <patternFill patternType="solid">
          <fgColor rgb="FFF2F4CF"/>
          <bgColor rgb="FF000000"/>
        </patternFill>
      </fill>
    </dxf>
    <dxf>
      <fill>
        <patternFill patternType="solid">
          <fgColor rgb="FFF4F4CE"/>
          <bgColor rgb="FF000000"/>
        </patternFill>
      </fill>
    </dxf>
    <dxf>
      <fill>
        <patternFill patternType="solid">
          <fgColor rgb="FFF5F4CD"/>
          <bgColor rgb="FF000000"/>
        </patternFill>
      </fill>
    </dxf>
    <dxf>
      <fill>
        <patternFill patternType="solid">
          <fgColor rgb="FFF6F4CC"/>
          <bgColor rgb="FF000000"/>
        </patternFill>
      </fill>
    </dxf>
    <dxf>
      <fill>
        <patternFill patternType="solid">
          <fgColor rgb="FFF7F4CC"/>
          <bgColor rgb="FF000000"/>
        </patternFill>
      </fill>
    </dxf>
    <dxf>
      <fill>
        <patternFill patternType="solid">
          <fgColor rgb="FFF8F4CB"/>
          <bgColor rgb="FF000000"/>
        </patternFill>
      </fill>
    </dxf>
    <dxf>
      <fill>
        <patternFill patternType="solid">
          <fgColor rgb="FFF9F3CA"/>
          <bgColor rgb="FF000000"/>
        </patternFill>
      </fill>
    </dxf>
    <dxf>
      <fill>
        <patternFill patternType="solid">
          <fgColor rgb="FFFAF3C9"/>
          <bgColor rgb="FF000000"/>
        </patternFill>
      </fill>
    </dxf>
    <dxf>
      <fill>
        <patternFill patternType="solid">
          <fgColor rgb="FFFAF3CA"/>
          <bgColor rgb="FF000000"/>
        </patternFill>
      </fill>
    </dxf>
    <dxf>
      <fill>
        <patternFill patternType="solid">
          <fgColor rgb="FFFBF3C9"/>
          <bgColor rgb="FF000000"/>
        </patternFill>
      </fill>
    </dxf>
    <dxf>
      <fill>
        <patternFill patternType="solid">
          <fgColor rgb="FFFCF3C8"/>
          <bgColor rgb="FF000000"/>
        </patternFill>
      </fill>
    </dxf>
    <dxf>
      <fill>
        <patternFill patternType="solid">
          <fgColor rgb="FFFDF3C7"/>
          <bgColor rgb="FF000000"/>
        </patternFill>
      </fill>
    </dxf>
    <dxf>
      <fill>
        <patternFill patternType="solid">
          <fgColor rgb="FFFDF3C8"/>
          <bgColor rgb="FF000000"/>
        </patternFill>
      </fill>
    </dxf>
    <dxf>
      <fill>
        <patternFill patternType="solid">
          <fgColor rgb="FFFEE2E1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0"/>
          <bgColor rgb="FF000000"/>
        </patternFill>
      </fill>
    </dxf>
    <dxf>
      <fill>
        <patternFill patternType="solid">
          <fgColor rgb="FFFEE3E1"/>
          <bgColor rgb="FF000000"/>
        </patternFill>
      </fill>
    </dxf>
    <dxf>
      <fill>
        <patternFill patternType="solid">
          <fgColor rgb="FFFEE4DF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6DB"/>
          <bgColor rgb="FF000000"/>
        </patternFill>
      </fill>
    </dxf>
    <dxf>
      <fill>
        <patternFill patternType="solid">
          <fgColor rgb="FFFEE6DC"/>
          <bgColor rgb="FF000000"/>
        </patternFill>
      </fill>
    </dxf>
    <dxf>
      <fill>
        <patternFill patternType="solid">
          <fgColor rgb="FFFEE7DA"/>
          <bgColor rgb="FF000000"/>
        </patternFill>
      </fill>
    </dxf>
    <dxf>
      <fill>
        <patternFill patternType="solid">
          <fgColor rgb="FFFEE7DB"/>
          <bgColor rgb="FF000000"/>
        </patternFill>
      </fill>
    </dxf>
    <dxf>
      <fill>
        <patternFill patternType="solid">
          <fgColor rgb="FFFEE8D7"/>
          <bgColor rgb="FF000000"/>
        </patternFill>
      </fill>
    </dxf>
    <dxf>
      <fill>
        <patternFill patternType="solid">
          <fgColor rgb="FFFEE8D8"/>
          <bgColor rgb="FF000000"/>
        </patternFill>
      </fill>
    </dxf>
    <dxf>
      <fill>
        <patternFill patternType="solid">
          <fgColor rgb="FFFEE8D9"/>
          <bgColor rgb="FF000000"/>
        </patternFill>
      </fill>
    </dxf>
    <dxf>
      <fill>
        <patternFill patternType="solid">
          <fgColor rgb="FFFEE9D6"/>
          <bgColor rgb="FF000000"/>
        </patternFill>
      </fill>
    </dxf>
    <dxf>
      <fill>
        <patternFill patternType="solid">
          <fgColor rgb="FFFEE9D7"/>
          <bgColor rgb="FF000000"/>
        </patternFill>
      </fill>
    </dxf>
    <dxf>
      <fill>
        <patternFill patternType="solid">
          <fgColor rgb="FFFEEAD6"/>
          <bgColor rgb="FF000000"/>
        </patternFill>
      </fill>
    </dxf>
    <dxf>
      <fill>
        <patternFill patternType="solid">
          <fgColor rgb="FFFEEBD3"/>
          <bgColor rgb="FF000000"/>
        </patternFill>
      </fill>
    </dxf>
    <dxf>
      <fill>
        <patternFill patternType="solid">
          <fgColor rgb="FFFEEBD4"/>
          <bgColor rgb="FF000000"/>
        </patternFill>
      </fill>
    </dxf>
    <dxf>
      <fill>
        <patternFill patternType="solid">
          <fgColor rgb="FFFEECD1"/>
          <bgColor rgb="FF000000"/>
        </patternFill>
      </fill>
    </dxf>
    <dxf>
      <fill>
        <patternFill patternType="solid">
          <fgColor rgb="FFFEECD2"/>
          <bgColor rgb="FF000000"/>
        </patternFill>
      </fill>
    </dxf>
    <dxf>
      <fill>
        <patternFill patternType="solid">
          <fgColor rgb="FFFEEDD0"/>
          <bgColor rgb="FF000000"/>
        </patternFill>
      </fill>
    </dxf>
    <dxf>
      <fill>
        <patternFill patternType="solid">
          <fgColor rgb="FFFEEDD1"/>
          <bgColor rgb="FF000000"/>
        </patternFill>
      </fill>
    </dxf>
    <dxf>
      <fill>
        <patternFill patternType="solid">
          <fgColor rgb="FFFEEECE"/>
          <bgColor rgb="FF000000"/>
        </patternFill>
      </fill>
    </dxf>
    <dxf>
      <fill>
        <patternFill patternType="solid">
          <fgColor rgb="FFFEEECF"/>
          <bgColor rgb="FF000000"/>
        </patternFill>
      </fill>
    </dxf>
    <dxf>
      <fill>
        <patternFill patternType="solid">
          <fgColor rgb="FFFEEFCD"/>
          <bgColor rgb="FF000000"/>
        </patternFill>
      </fill>
    </dxf>
    <dxf>
      <fill>
        <patternFill patternType="solid">
          <fgColor rgb="FFFEF0CB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FEF1C9"/>
          <bgColor rgb="FF000000"/>
        </patternFill>
      </fill>
    </dxf>
    <dxf>
      <fill>
        <patternFill patternType="solid">
          <fgColor rgb="FFFEF1CA"/>
          <bgColor rgb="FF000000"/>
        </patternFill>
      </fill>
    </dxf>
    <dxf>
      <fill>
        <patternFill patternType="solid">
          <fgColor rgb="FFFEF1CB"/>
          <bgColor rgb="FF000000"/>
        </patternFill>
      </fill>
    </dxf>
    <dxf>
      <fill>
        <patternFill patternType="solid">
          <fgColor rgb="FFFEF2C8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65F46"/>
      <rgbColor rgb="FFE5E7EB"/>
      <rgbColor rgb="FF878787"/>
      <rgbColor rgb="FF9999FF"/>
      <rgbColor rgb="FF993366"/>
      <rgbColor rgb="FFFEF3C7"/>
      <rgbColor rgb="FFF0F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1FAE5"/>
      <rgbColor rgb="FFFFEB9C"/>
      <rgbColor rgb="FFFAFBF8"/>
      <rgbColor rgb="FFFEE2E2"/>
      <rgbColor rgb="FFCC99FF"/>
      <rgbColor rgb="FFFFC7CE"/>
      <rgbColor rgb="FF3366FF"/>
      <rgbColor rgb="FF33CCCC"/>
      <rgbColor rgb="FF99CC00"/>
      <rgbColor rgb="FFFFCC00"/>
      <rgbColor rgb="FFFF9900"/>
      <rgbColor rgb="FFD97706"/>
      <rgbColor rgb="FF4F81BD"/>
      <rgbColor rgb="FF969696"/>
      <rgbColor rgb="FF003366"/>
      <rgbColor rgb="FF16A34A"/>
      <rgbColor rgb="FF14532D"/>
      <rgbColor rgb="FF333300"/>
      <rgbColor rgb="FF92400E"/>
      <rgbColor rgb="FF993366"/>
      <rgbColor rgb="FF57534E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'Inventory Dashboard'!B41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1665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Dashboard'!$A$42:$A$47</c:f>
              <c:strCache>
                <c:ptCount val="6"/>
                <c:pt idx="0">
                  <c:v>Apparel</c:v>
                </c:pt>
                <c:pt idx="1">
                  <c:v>Home</c:v>
                </c:pt>
                <c:pt idx="2">
                  <c:v>Electronics</c:v>
                </c:pt>
                <c:pt idx="3">
                  <c:v>Beauty</c:v>
                </c:pt>
                <c:pt idx="4">
                  <c:v>Sports</c:v>
                </c:pt>
                <c:pt idx="5">
                  <c:v>Books</c:v>
                </c:pt>
              </c:strCache>
            </c:strRef>
          </c:cat>
          <c:val>
            <c:numRef>
              <c:f>'Inventory Dashboard'!$B$42:$B$47</c:f>
              <c:numCache>
                <c:formatCode>\$#,##0;"($"#,##0\);\-</c:formatCode>
                <c:ptCount val="6"/>
                <c:pt idx="0">
                  <c:v>662685.88</c:v>
                </c:pt>
                <c:pt idx="1">
                  <c:v>533558.63</c:v>
                </c:pt>
                <c:pt idx="2">
                  <c:v>692650.41</c:v>
                </c:pt>
                <c:pt idx="3">
                  <c:v>287653.04</c:v>
                </c:pt>
                <c:pt idx="4">
                  <c:v>490099.87</c:v>
                </c:pt>
                <c:pt idx="5">
                  <c:v>582817.7</c:v>
                </c:pt>
              </c:numCache>
            </c:numRef>
          </c:val>
        </c:ser>
        <c:gapWidth val="150"/>
        <c:overlap val="0"/>
        <c:axId val="69482169"/>
        <c:axId val="90589338"/>
      </c:barChart>
      <c:catAx>
        <c:axId val="694821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89338"/>
        <c:crosses val="autoZero"/>
        <c:auto val="1"/>
        <c:lblAlgn val="ctr"/>
        <c:lblOffset val="100"/>
        <c:noMultiLvlLbl val="0"/>
      </c:catAx>
      <c:valAx>
        <c:axId val="90589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821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SKU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'Inventory Dashboard'!I9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770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c262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'Inventory Dashboard'!$H$10:$H$12</c:f>
              <c:strCache>
                <c:ptCount val="3"/>
                <c:pt idx="0">
                  <c:v>OK</c:v>
                </c:pt>
                <c:pt idx="1">
                  <c:v>Low</c:v>
                </c:pt>
                <c:pt idx="2">
                  <c:v>Out</c:v>
                </c:pt>
              </c:strCache>
            </c:strRef>
          </c:cat>
          <c:val>
            <c:numRef>
              <c:f>'Inventory Dashboard'!$I$10:$I$12</c:f>
              <c:numCache>
                <c:formatCode>#,##0;\(#,##0\);\-</c:formatCode>
                <c:ptCount val="3"/>
                <c:pt idx="0">
                  <c:v>95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4</xdr:col>
      <xdr:colOff>90000</xdr:colOff>
      <xdr:row>38</xdr:row>
      <xdr:rowOff>21960</xdr:rowOff>
    </xdr:to>
    <xdr:graphicFrame>
      <xdr:nvGraphicFramePr>
        <xdr:cNvPr id="0" name="Chart 1"/>
        <xdr:cNvGraphicFramePr/>
      </xdr:nvGraphicFramePr>
      <xdr:xfrm>
        <a:off x="0" y="65246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11</xdr:col>
      <xdr:colOff>183600</xdr:colOff>
      <xdr:row>38</xdr:row>
      <xdr:rowOff>21960</xdr:rowOff>
    </xdr:to>
    <xdr:graphicFrame>
      <xdr:nvGraphicFramePr>
        <xdr:cNvPr id="1" name="Chart 2"/>
        <xdr:cNvGraphicFramePr/>
      </xdr:nvGraphicFramePr>
      <xdr:xfrm>
        <a:off x="6061680" y="6524640"/>
        <a:ext cx="32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R19" activeCellId="0" sqref="R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"/>
    <col collapsed="false" customWidth="true" hidden="false" outlineLevel="0" max="9" min="8" style="1" width="12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1.75" hidden="false" customHeight="true" outlineLevel="0" collapsed="false">
      <c r="A4" s="5" t="s">
        <v>2</v>
      </c>
      <c r="B4" s="5"/>
      <c r="C4" s="5" t="s">
        <v>3</v>
      </c>
      <c r="D4" s="5"/>
      <c r="E4" s="5" t="s">
        <v>4</v>
      </c>
      <c r="F4" s="5"/>
      <c r="G4" s="5" t="s">
        <v>5</v>
      </c>
      <c r="H4" s="5"/>
      <c r="I4" s="5" t="s">
        <v>6</v>
      </c>
      <c r="J4" s="3"/>
      <c r="K4" s="3"/>
      <c r="L4" s="3"/>
    </row>
    <row r="5" customFormat="false" ht="48" hidden="false" customHeight="true" outlineLevel="0" collapsed="false">
      <c r="A5" s="6" t="n">
        <f aca="false">COUNTA(Stock!A2:A101)</f>
        <v>100</v>
      </c>
      <c r="B5" s="6"/>
      <c r="C5" s="7" t="n">
        <f aca="false">SUMPRODUCT(Stock!E2:E101,Stock!F2:F101)</f>
        <v>3249465.53</v>
      </c>
      <c r="D5" s="7"/>
      <c r="E5" s="6" t="n">
        <f aca="false">COUNTIF(Stock!I2:I101,"Low")</f>
        <v>5</v>
      </c>
      <c r="F5" s="6"/>
      <c r="G5" s="6" t="n">
        <f aca="false">COUNTIF(Stock!I2:I101,"Out")</f>
        <v>0</v>
      </c>
      <c r="H5" s="6"/>
      <c r="I5" s="8" t="n">
        <f aca="false">AVERAGE(Stock!H2:H101)</f>
        <v>26.336</v>
      </c>
      <c r="J5" s="3"/>
      <c r="K5" s="3"/>
      <c r="L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25.5" hidden="false" customHeight="true" outlineLevel="0" collapsed="false">
      <c r="A8" s="9" t="s">
        <v>7</v>
      </c>
      <c r="B8" s="9"/>
      <c r="C8" s="9"/>
      <c r="D8" s="9"/>
      <c r="E8" s="9"/>
      <c r="F8" s="9"/>
      <c r="G8" s="3"/>
      <c r="H8" s="9" t="s">
        <v>8</v>
      </c>
      <c r="I8" s="9"/>
      <c r="J8" s="3"/>
      <c r="K8" s="3"/>
      <c r="L8" s="3"/>
    </row>
    <row r="9" customFormat="false" ht="27.75" hidden="false" customHeight="true" outlineLevel="0" collapsed="false">
      <c r="A9" s="10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  <c r="G9" s="3"/>
      <c r="H9" s="10" t="s">
        <v>15</v>
      </c>
      <c r="I9" s="10" t="s">
        <v>16</v>
      </c>
      <c r="J9" s="3"/>
      <c r="K9" s="3"/>
      <c r="L9" s="3"/>
    </row>
    <row r="10" customFormat="false" ht="21.75" hidden="false" customHeight="true" outlineLevel="0" collapsed="false">
      <c r="A10" s="11" t="str">
        <f aca="false" t="array" ref="A10:A10">INDEX(Stock!A:A,MATCH(LARGE(Stock!K$2:K$101,1),Stock!K$2:K$101,0)+1)</f>
        <v>SKU-1078</v>
      </c>
      <c r="B10" s="12" t="str">
        <f aca="false">VLOOKUP(A10,Stock!A:K,2,FALSE())</f>
        <v>Product 78</v>
      </c>
      <c r="C10" s="12" t="str">
        <f aca="false">VLOOKUP(A10,Stock!A:K,3,FALSE())</f>
        <v>Books</v>
      </c>
      <c r="D10" s="13" t="n">
        <f aca="false">VLOOKUP(A10,Stock!A:K,6,FALSE())</f>
        <v>484</v>
      </c>
      <c r="E10" s="14" t="n">
        <f aca="false">VLOOKUP(A10,Stock!A:K,5,FALSE())</f>
        <v>213.77</v>
      </c>
      <c r="F10" s="14" t="n">
        <f aca="false">LARGE(Stock!K$2:K$101,1)</f>
        <v>103464.68</v>
      </c>
      <c r="G10" s="3"/>
      <c r="H10" s="15" t="s">
        <v>17</v>
      </c>
      <c r="I10" s="13" t="n">
        <f aca="false">COUNTIF(Stock!I:I,"OK")</f>
        <v>95</v>
      </c>
      <c r="J10" s="3"/>
      <c r="K10" s="3"/>
      <c r="L10" s="3"/>
    </row>
    <row r="11" customFormat="false" ht="21.75" hidden="false" customHeight="true" outlineLevel="0" collapsed="false">
      <c r="A11" s="16" t="str">
        <f aca="false" t="array" ref="A11:A11">INDEX(Stock!A:A,MATCH(LARGE(Stock!K$2:K$101,2),Stock!K$2:K$101,0)+1)</f>
        <v>SKU-1044</v>
      </c>
      <c r="B11" s="17" t="str">
        <f aca="false">VLOOKUP(A11,Stock!A:K,2,FALSE())</f>
        <v>Product 44</v>
      </c>
      <c r="C11" s="17" t="str">
        <f aca="false">VLOOKUP(A11,Stock!A:K,3,FALSE())</f>
        <v>Electronics</v>
      </c>
      <c r="D11" s="18" t="n">
        <f aca="false">VLOOKUP(A11,Stock!A:K,6,FALSE())</f>
        <v>388</v>
      </c>
      <c r="E11" s="19" t="n">
        <f aca="false">VLOOKUP(A11,Stock!A:K,5,FALSE())</f>
        <v>232.1</v>
      </c>
      <c r="F11" s="19" t="n">
        <f aca="false">LARGE(Stock!K$2:K$101,2)</f>
        <v>90054.8</v>
      </c>
      <c r="G11" s="3"/>
      <c r="H11" s="20" t="s">
        <v>18</v>
      </c>
      <c r="I11" s="18" t="n">
        <f aca="false">COUNTIF(Stock!I:I,"Low")</f>
        <v>5</v>
      </c>
      <c r="J11" s="3"/>
      <c r="K11" s="3"/>
      <c r="L11" s="3"/>
    </row>
    <row r="12" customFormat="false" ht="21.75" hidden="false" customHeight="true" outlineLevel="0" collapsed="false">
      <c r="A12" s="11" t="str">
        <f aca="false" t="array" ref="A12:A12">INDEX(Stock!A:A,MATCH(LARGE(Stock!K$2:K$101,3),Stock!K$2:K$101,0)+1)</f>
        <v>SKU-1043</v>
      </c>
      <c r="B12" s="12" t="str">
        <f aca="false">VLOOKUP(A12,Stock!A:K,2,FALSE())</f>
        <v>Product 43</v>
      </c>
      <c r="C12" s="12" t="str">
        <f aca="false">VLOOKUP(A12,Stock!A:K,3,FALSE())</f>
        <v>Sports</v>
      </c>
      <c r="D12" s="13" t="n">
        <f aca="false">VLOOKUP(A12,Stock!A:K,6,FALSE())</f>
        <v>394</v>
      </c>
      <c r="E12" s="14" t="n">
        <f aca="false">VLOOKUP(A12,Stock!A:K,5,FALSE())</f>
        <v>225.15</v>
      </c>
      <c r="F12" s="14" t="n">
        <f aca="false">LARGE(Stock!K$2:K$101,3)</f>
        <v>88709.1</v>
      </c>
      <c r="G12" s="3"/>
      <c r="H12" s="21" t="s">
        <v>19</v>
      </c>
      <c r="I12" s="13" t="n">
        <f aca="false">COUNTIF(Stock!I:I,"Out")</f>
        <v>0</v>
      </c>
      <c r="J12" s="3"/>
      <c r="K12" s="3"/>
      <c r="L12" s="3"/>
    </row>
    <row r="13" customFormat="false" ht="21.75" hidden="false" customHeight="true" outlineLevel="0" collapsed="false">
      <c r="A13" s="16" t="str">
        <f aca="false" t="array" ref="A13:A13">INDEX(Stock!A:A,MATCH(LARGE(Stock!K$2:K$101,4),Stock!K$2:K$101,0)+1)</f>
        <v>SKU-1021</v>
      </c>
      <c r="B13" s="17" t="str">
        <f aca="false">VLOOKUP(A13,Stock!A:K,2,FALSE())</f>
        <v>Product 21</v>
      </c>
      <c r="C13" s="17" t="str">
        <f aca="false">VLOOKUP(A13,Stock!A:K,3,FALSE())</f>
        <v>Apparel</v>
      </c>
      <c r="D13" s="18" t="n">
        <f aca="false">VLOOKUP(A13,Stock!A:K,6,FALSE())</f>
        <v>367</v>
      </c>
      <c r="E13" s="19" t="n">
        <f aca="false">VLOOKUP(A13,Stock!A:K,5,FALSE())</f>
        <v>240.06</v>
      </c>
      <c r="F13" s="19" t="n">
        <f aca="false">LARGE(Stock!K$2:K$101,4)</f>
        <v>88102.02</v>
      </c>
      <c r="G13" s="3"/>
      <c r="H13" s="3"/>
      <c r="I13" s="3"/>
      <c r="J13" s="3"/>
      <c r="K13" s="3"/>
      <c r="L13" s="3"/>
    </row>
    <row r="14" customFormat="false" ht="21.75" hidden="false" customHeight="true" outlineLevel="0" collapsed="false">
      <c r="A14" s="11" t="str">
        <f aca="false" t="array" ref="A14:A14">INDEX(Stock!A:A,MATCH(LARGE(Stock!K$2:K$101,5),Stock!K$2:K$101,0)+1)</f>
        <v>SKU-1077</v>
      </c>
      <c r="B14" s="12" t="str">
        <f aca="false">VLOOKUP(A14,Stock!A:K,2,FALSE())</f>
        <v>Product 77</v>
      </c>
      <c r="C14" s="12" t="str">
        <f aca="false">VLOOKUP(A14,Stock!A:K,3,FALSE())</f>
        <v>Books</v>
      </c>
      <c r="D14" s="13" t="n">
        <f aca="false">VLOOKUP(A14,Stock!A:K,6,FALSE())</f>
        <v>470</v>
      </c>
      <c r="E14" s="14" t="n">
        <f aca="false">VLOOKUP(A14,Stock!A:K,5,FALSE())</f>
        <v>182.24</v>
      </c>
      <c r="F14" s="14" t="n">
        <f aca="false">LARGE(Stock!K$2:K$101,5)</f>
        <v>85652.8</v>
      </c>
      <c r="G14" s="3"/>
      <c r="H14" s="3"/>
      <c r="I14" s="3"/>
      <c r="J14" s="3"/>
      <c r="K14" s="3"/>
      <c r="L14" s="3"/>
    </row>
    <row r="15" customFormat="false" ht="21.75" hidden="false" customHeight="true" outlineLevel="0" collapsed="false">
      <c r="A15" s="16" t="str">
        <f aca="false" t="array" ref="A15:A15">INDEX(Stock!A:A,MATCH(LARGE(Stock!K$2:K$101,6),Stock!K$2:K$101,0)+1)</f>
        <v>SKU-1003</v>
      </c>
      <c r="B15" s="17" t="str">
        <f aca="false">VLOOKUP(A15,Stock!A:K,2,FALSE())</f>
        <v>Product 3</v>
      </c>
      <c r="C15" s="17" t="str">
        <f aca="false">VLOOKUP(A15,Stock!A:K,3,FALSE())</f>
        <v>Apparel</v>
      </c>
      <c r="D15" s="18" t="n">
        <f aca="false">VLOOKUP(A15,Stock!A:K,6,FALSE())</f>
        <v>379</v>
      </c>
      <c r="E15" s="19" t="n">
        <f aca="false">VLOOKUP(A15,Stock!A:K,5,FALSE())</f>
        <v>212.03</v>
      </c>
      <c r="F15" s="19" t="n">
        <f aca="false">LARGE(Stock!K$2:K$101,6)</f>
        <v>80359.37</v>
      </c>
      <c r="G15" s="3"/>
      <c r="H15" s="3"/>
      <c r="I15" s="3"/>
      <c r="J15" s="3"/>
      <c r="K15" s="3"/>
      <c r="L15" s="3"/>
    </row>
    <row r="16" customFormat="false" ht="21.75" hidden="false" customHeight="true" outlineLevel="0" collapsed="false">
      <c r="A16" s="11" t="str">
        <f aca="false" t="array" ref="A16:A16">INDEX(Stock!A:A,MATCH(LARGE(Stock!K$2:K$101,7),Stock!K$2:K$101,0)+1)</f>
        <v>SKU-1094</v>
      </c>
      <c r="B16" s="12" t="str">
        <f aca="false">VLOOKUP(A16,Stock!A:K,2,FALSE())</f>
        <v>Product 94</v>
      </c>
      <c r="C16" s="12" t="str">
        <f aca="false">VLOOKUP(A16,Stock!A:K,3,FALSE())</f>
        <v>Apparel</v>
      </c>
      <c r="D16" s="13" t="n">
        <f aca="false">VLOOKUP(A16,Stock!A:K,6,FALSE())</f>
        <v>440</v>
      </c>
      <c r="E16" s="14" t="n">
        <f aca="false">VLOOKUP(A16,Stock!A:K,5,FALSE())</f>
        <v>174.57</v>
      </c>
      <c r="F16" s="14" t="n">
        <f aca="false">LARGE(Stock!K$2:K$101,7)</f>
        <v>76810.8</v>
      </c>
      <c r="G16" s="3"/>
      <c r="H16" s="3"/>
      <c r="I16" s="3"/>
      <c r="J16" s="3"/>
      <c r="K16" s="3"/>
      <c r="L16" s="3"/>
    </row>
    <row r="17" customFormat="false" ht="21.75" hidden="false" customHeight="true" outlineLevel="0" collapsed="false">
      <c r="A17" s="16" t="str">
        <f aca="false" t="array" ref="A17:A17">INDEX(Stock!A:A,MATCH(LARGE(Stock!K$2:K$101,8),Stock!K$2:K$101,0)+1)</f>
        <v>SKU-1014</v>
      </c>
      <c r="B17" s="17" t="str">
        <f aca="false">VLOOKUP(A17,Stock!A:K,2,FALSE())</f>
        <v>Product 14</v>
      </c>
      <c r="C17" s="17" t="str">
        <f aca="false">VLOOKUP(A17,Stock!A:K,3,FALSE())</f>
        <v>Sports</v>
      </c>
      <c r="D17" s="18" t="n">
        <f aca="false">VLOOKUP(A17,Stock!A:K,6,FALSE())</f>
        <v>421</v>
      </c>
      <c r="E17" s="19" t="n">
        <f aca="false">VLOOKUP(A17,Stock!A:K,5,FALSE())</f>
        <v>180.92</v>
      </c>
      <c r="F17" s="19" t="n">
        <f aca="false">LARGE(Stock!K$2:K$101,8)</f>
        <v>76167.32</v>
      </c>
      <c r="G17" s="3"/>
      <c r="H17" s="3"/>
      <c r="I17" s="3"/>
      <c r="J17" s="3"/>
      <c r="K17" s="3"/>
      <c r="L17" s="3"/>
    </row>
    <row r="18" customFormat="false" ht="21.75" hidden="false" customHeight="true" outlineLevel="0" collapsed="false">
      <c r="A18" s="11" t="str">
        <f aca="false" t="array" ref="A18:A18">INDEX(Stock!A:A,MATCH(LARGE(Stock!K$2:K$101,9),Stock!K$2:K$101,0)+1)</f>
        <v>SKU-1038</v>
      </c>
      <c r="B18" s="12" t="str">
        <f aca="false">VLOOKUP(A18,Stock!A:K,2,FALSE())</f>
        <v>Product 38</v>
      </c>
      <c r="C18" s="12" t="str">
        <f aca="false">VLOOKUP(A18,Stock!A:K,3,FALSE())</f>
        <v>Apparel</v>
      </c>
      <c r="D18" s="13" t="n">
        <f aca="false">VLOOKUP(A18,Stock!A:K,6,FALSE())</f>
        <v>472</v>
      </c>
      <c r="E18" s="14" t="n">
        <f aca="false">VLOOKUP(A18,Stock!A:K,5,FALSE())</f>
        <v>160.16</v>
      </c>
      <c r="F18" s="14" t="n">
        <f aca="false">LARGE(Stock!K$2:K$101,9)</f>
        <v>75595.52</v>
      </c>
      <c r="G18" s="3"/>
      <c r="H18" s="3"/>
      <c r="I18" s="3"/>
      <c r="J18" s="3"/>
      <c r="K18" s="3"/>
      <c r="L18" s="3"/>
    </row>
    <row r="19" customFormat="false" ht="21.75" hidden="false" customHeight="true" outlineLevel="0" collapsed="false">
      <c r="A19" s="16" t="str">
        <f aca="false" t="array" ref="A19:A19">INDEX(Stock!A:A,MATCH(LARGE(Stock!K$2:K$101,10),Stock!K$2:K$101,0)+1)</f>
        <v>SKU-1066</v>
      </c>
      <c r="B19" s="17" t="str">
        <f aca="false">VLOOKUP(A19,Stock!A:K,2,FALSE())</f>
        <v>Product 66</v>
      </c>
      <c r="C19" s="17" t="str">
        <f aca="false">VLOOKUP(A19,Stock!A:K,3,FALSE())</f>
        <v>Books</v>
      </c>
      <c r="D19" s="18" t="n">
        <f aca="false">VLOOKUP(A19,Stock!A:K,6,FALSE())</f>
        <v>320</v>
      </c>
      <c r="E19" s="19" t="n">
        <f aca="false">VLOOKUP(A19,Stock!A:K,5,FALSE())</f>
        <v>220.03</v>
      </c>
      <c r="F19" s="19" t="n">
        <f aca="false">LARGE(Stock!K$2:K$101,10)</f>
        <v>70409.6</v>
      </c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25.5" hidden="false" customHeight="true" outlineLevel="0" collapsed="false">
      <c r="A22" s="9" t="s">
        <v>20</v>
      </c>
      <c r="B22" s="9"/>
      <c r="C22" s="9"/>
      <c r="D22" s="9"/>
      <c r="E22" s="9"/>
      <c r="F22" s="9"/>
      <c r="G22" s="9"/>
      <c r="H22" s="9"/>
      <c r="I22" s="9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22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27.75" hidden="false" customHeight="true" outlineLevel="0" collapsed="false">
      <c r="A41" s="10" t="s">
        <v>11</v>
      </c>
      <c r="B41" s="10" t="s">
        <v>14</v>
      </c>
      <c r="C41" s="10" t="s">
        <v>22</v>
      </c>
    </row>
    <row r="42" customFormat="false" ht="21.75" hidden="false" customHeight="true" outlineLevel="0" collapsed="false">
      <c r="A42" s="11" t="s">
        <v>23</v>
      </c>
      <c r="B42" s="14" t="n">
        <f aca="false">SUMIFS(Stock!K:K,Stock!C:C,A42)</f>
        <v>662685.88</v>
      </c>
      <c r="C42" s="13" t="n">
        <f aca="false">COUNTIFS(Stock!C:C,A42)</f>
        <v>16</v>
      </c>
    </row>
    <row r="43" customFormat="false" ht="21.75" hidden="false" customHeight="true" outlineLevel="0" collapsed="false">
      <c r="A43" s="16" t="s">
        <v>24</v>
      </c>
      <c r="B43" s="19" t="n">
        <f aca="false">SUMIFS(Stock!K:K,Stock!C:C,A43)</f>
        <v>533558.63</v>
      </c>
      <c r="C43" s="18" t="n">
        <f aca="false">COUNTIFS(Stock!C:C,A43)</f>
        <v>18</v>
      </c>
    </row>
    <row r="44" customFormat="false" ht="21.75" hidden="false" customHeight="true" outlineLevel="0" collapsed="false">
      <c r="A44" s="11" t="s">
        <v>25</v>
      </c>
      <c r="B44" s="14" t="n">
        <f aca="false">SUMIFS(Stock!K:K,Stock!C:C,A44)</f>
        <v>692650.41</v>
      </c>
      <c r="C44" s="13" t="n">
        <f aca="false">COUNTIFS(Stock!C:C,A44)</f>
        <v>21</v>
      </c>
    </row>
    <row r="45" customFormat="false" ht="21.75" hidden="false" customHeight="true" outlineLevel="0" collapsed="false">
      <c r="A45" s="16" t="s">
        <v>26</v>
      </c>
      <c r="B45" s="19" t="n">
        <f aca="false">SUMIFS(Stock!K:K,Stock!C:C,A45)</f>
        <v>287653.04</v>
      </c>
      <c r="C45" s="18" t="n">
        <f aca="false">COUNTIFS(Stock!C:C,A45)</f>
        <v>14</v>
      </c>
    </row>
    <row r="46" customFormat="false" ht="21.75" hidden="false" customHeight="true" outlineLevel="0" collapsed="false">
      <c r="A46" s="11" t="s">
        <v>27</v>
      </c>
      <c r="B46" s="14" t="n">
        <f aca="false">SUMIFS(Stock!K:K,Stock!C:C,A46)</f>
        <v>490099.87</v>
      </c>
      <c r="C46" s="13" t="n">
        <f aca="false">COUNTIFS(Stock!C:C,A46)</f>
        <v>15</v>
      </c>
    </row>
    <row r="47" customFormat="false" ht="21.75" hidden="false" customHeight="true" outlineLevel="0" collapsed="false">
      <c r="A47" s="16" t="s">
        <v>28</v>
      </c>
      <c r="B47" s="19" t="n">
        <f aca="false">SUMIFS(Stock!K:K,Stock!C:C,A47)</f>
        <v>582817.7</v>
      </c>
      <c r="C47" s="18" t="n">
        <f aca="false">COUNTIFS(Stock!C:C,A47)</f>
        <v>16</v>
      </c>
    </row>
  </sheetData>
  <mergeCells count="13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8:F8"/>
    <mergeCell ref="H8:I8"/>
    <mergeCell ref="A22:I22"/>
  </mergeCells>
  <conditionalFormatting sqref="F10:F19">
    <cfRule type="dataBar" priority="2">
      <dataBar showValue="1" minLength="10" maxLength="90">
        <cfvo type="min" val="0"/>
        <cfvo type="max" val="0"/>
        <color rgb="FFD97706"/>
      </dataBar>
      <extLst>
        <ext xmlns:x14="http://schemas.microsoft.com/office/spreadsheetml/2009/9/main" uri="{B025F937-C7B1-47D3-B67F-A62EFF666E3E}">
          <x14:id>{5E998F7E-3F3C-4210-9630-AE1EA22D613F}</x14:id>
        </ext>
      </extLst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998F7E-3F3C-4210-9630-AE1EA22D613F}">
            <x14:dataBar minLength="10" maxLength="90" axisPosition="none" gradient="true">
              <x14:cfvo type="min"/>
              <x14:cfvo type="max"/>
              <x14:negativeFillColor rgb="FFD97706"/>
              <x14:axisColor rgb="FF000000"/>
            </x14:dataBar>
          </x14:cfRule>
          <xm:sqref>F10:F19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3"/>
  </cols>
  <sheetData>
    <row r="1" customFormat="false" ht="30" hidden="false" customHeight="true" outlineLevel="0" collapsed="false">
      <c r="A1" s="10" t="s">
        <v>9</v>
      </c>
      <c r="B1" s="10" t="s">
        <v>10</v>
      </c>
      <c r="C1" s="10" t="s">
        <v>11</v>
      </c>
      <c r="D1" s="10" t="s">
        <v>29</v>
      </c>
      <c r="E1" s="10" t="s">
        <v>13</v>
      </c>
      <c r="F1" s="10" t="s">
        <v>30</v>
      </c>
      <c r="G1" s="10" t="s">
        <v>31</v>
      </c>
      <c r="H1" s="10" t="s">
        <v>32</v>
      </c>
      <c r="I1" s="10" t="s">
        <v>15</v>
      </c>
      <c r="J1" s="10" t="s">
        <v>33</v>
      </c>
      <c r="K1" s="10" t="s">
        <v>14</v>
      </c>
    </row>
    <row r="2" customFormat="false" ht="19.5" hidden="false" customHeight="true" outlineLevel="0" collapsed="false">
      <c r="A2" s="23" t="s">
        <v>34</v>
      </c>
      <c r="B2" s="17" t="s">
        <v>35</v>
      </c>
      <c r="C2" s="17" t="s">
        <v>23</v>
      </c>
      <c r="D2" s="17" t="s">
        <v>36</v>
      </c>
      <c r="E2" s="24" t="n">
        <v>196.93</v>
      </c>
      <c r="F2" s="25" t="n">
        <v>167</v>
      </c>
      <c r="G2" s="25" t="n">
        <v>56</v>
      </c>
      <c r="H2" s="26" t="n">
        <v>7.4</v>
      </c>
      <c r="I2" s="27" t="s">
        <v>17</v>
      </c>
      <c r="J2" s="25" t="n">
        <v>15</v>
      </c>
      <c r="K2" s="28" t="n">
        <f aca="false">E2*F2</f>
        <v>32887.31</v>
      </c>
    </row>
    <row r="3" customFormat="false" ht="19.5" hidden="false" customHeight="true" outlineLevel="0" collapsed="false">
      <c r="A3" s="29" t="s">
        <v>37</v>
      </c>
      <c r="B3" s="12" t="s">
        <v>38</v>
      </c>
      <c r="C3" s="12" t="s">
        <v>24</v>
      </c>
      <c r="D3" s="12" t="s">
        <v>39</v>
      </c>
      <c r="E3" s="30" t="n">
        <v>101.66</v>
      </c>
      <c r="F3" s="31" t="n">
        <v>109</v>
      </c>
      <c r="G3" s="31" t="n">
        <v>79</v>
      </c>
      <c r="H3" s="32" t="n">
        <v>4.6</v>
      </c>
      <c r="I3" s="33" t="s">
        <v>17</v>
      </c>
      <c r="J3" s="31" t="n">
        <v>4</v>
      </c>
      <c r="K3" s="34" t="n">
        <f aca="false">E3*F3</f>
        <v>11080.94</v>
      </c>
    </row>
    <row r="4" customFormat="false" ht="19.5" hidden="false" customHeight="true" outlineLevel="0" collapsed="false">
      <c r="A4" s="23" t="s">
        <v>40</v>
      </c>
      <c r="B4" s="17" t="s">
        <v>41</v>
      </c>
      <c r="C4" s="17" t="s">
        <v>23</v>
      </c>
      <c r="D4" s="17" t="s">
        <v>39</v>
      </c>
      <c r="E4" s="24" t="n">
        <v>212.03</v>
      </c>
      <c r="F4" s="25" t="n">
        <v>379</v>
      </c>
      <c r="G4" s="25" t="n">
        <v>35</v>
      </c>
      <c r="H4" s="26" t="n">
        <v>15.2</v>
      </c>
      <c r="I4" s="27" t="s">
        <v>17</v>
      </c>
      <c r="J4" s="25" t="n">
        <v>17</v>
      </c>
      <c r="K4" s="28" t="n">
        <f aca="false">E4*F4</f>
        <v>80359.37</v>
      </c>
    </row>
    <row r="5" customFormat="false" ht="19.5" hidden="false" customHeight="true" outlineLevel="0" collapsed="false">
      <c r="A5" s="29" t="s">
        <v>42</v>
      </c>
      <c r="B5" s="12" t="s">
        <v>43</v>
      </c>
      <c r="C5" s="12" t="s">
        <v>24</v>
      </c>
      <c r="D5" s="12" t="s">
        <v>44</v>
      </c>
      <c r="E5" s="30" t="n">
        <v>95.06</v>
      </c>
      <c r="F5" s="31" t="n">
        <v>130</v>
      </c>
      <c r="G5" s="31" t="n">
        <v>57</v>
      </c>
      <c r="H5" s="32" t="n">
        <v>9.6</v>
      </c>
      <c r="I5" s="33" t="s">
        <v>17</v>
      </c>
      <c r="J5" s="31" t="n">
        <v>5</v>
      </c>
      <c r="K5" s="34" t="n">
        <f aca="false">E5*F5</f>
        <v>12357.8</v>
      </c>
    </row>
    <row r="6" customFormat="false" ht="19.5" hidden="false" customHeight="true" outlineLevel="0" collapsed="false">
      <c r="A6" s="23" t="s">
        <v>45</v>
      </c>
      <c r="B6" s="17" t="s">
        <v>46</v>
      </c>
      <c r="C6" s="17" t="s">
        <v>23</v>
      </c>
      <c r="D6" s="17" t="s">
        <v>47</v>
      </c>
      <c r="E6" s="24" t="n">
        <v>108.6</v>
      </c>
      <c r="F6" s="25" t="n">
        <v>490</v>
      </c>
      <c r="G6" s="25" t="n">
        <v>52</v>
      </c>
      <c r="H6" s="26" t="n">
        <v>29.9</v>
      </c>
      <c r="I6" s="27" t="s">
        <v>17</v>
      </c>
      <c r="J6" s="25" t="n">
        <v>5</v>
      </c>
      <c r="K6" s="28" t="n">
        <f aca="false">E6*F6</f>
        <v>53214</v>
      </c>
    </row>
    <row r="7" customFormat="false" ht="19.5" hidden="false" customHeight="true" outlineLevel="0" collapsed="false">
      <c r="A7" s="29" t="s">
        <v>48</v>
      </c>
      <c r="B7" s="12" t="s">
        <v>49</v>
      </c>
      <c r="C7" s="12" t="s">
        <v>26</v>
      </c>
      <c r="D7" s="12" t="s">
        <v>50</v>
      </c>
      <c r="E7" s="30" t="n">
        <v>188.9</v>
      </c>
      <c r="F7" s="31" t="n">
        <v>9</v>
      </c>
      <c r="G7" s="31" t="n">
        <v>62</v>
      </c>
      <c r="H7" s="32" t="n">
        <v>0.5</v>
      </c>
      <c r="I7" s="33" t="s">
        <v>18</v>
      </c>
      <c r="J7" s="31" t="n">
        <v>9</v>
      </c>
      <c r="K7" s="34" t="n">
        <f aca="false">E7*F7</f>
        <v>1700.1</v>
      </c>
    </row>
    <row r="8" customFormat="false" ht="19.5" hidden="false" customHeight="true" outlineLevel="0" collapsed="false">
      <c r="A8" s="23" t="s">
        <v>51</v>
      </c>
      <c r="B8" s="17" t="s">
        <v>52</v>
      </c>
      <c r="C8" s="17" t="s">
        <v>26</v>
      </c>
      <c r="D8" s="17" t="s">
        <v>44</v>
      </c>
      <c r="E8" s="24" t="n">
        <v>63.62</v>
      </c>
      <c r="F8" s="25" t="n">
        <v>157</v>
      </c>
      <c r="G8" s="25" t="n">
        <v>24</v>
      </c>
      <c r="H8" s="26" t="n">
        <v>12.1</v>
      </c>
      <c r="I8" s="27" t="s">
        <v>17</v>
      </c>
      <c r="J8" s="25" t="n">
        <v>5</v>
      </c>
      <c r="K8" s="28" t="n">
        <f aca="false">E8*F8</f>
        <v>9988.34</v>
      </c>
    </row>
    <row r="9" customFormat="false" ht="19.5" hidden="false" customHeight="true" outlineLevel="0" collapsed="false">
      <c r="A9" s="29" t="s">
        <v>53</v>
      </c>
      <c r="B9" s="12" t="s">
        <v>54</v>
      </c>
      <c r="C9" s="12" t="s">
        <v>25</v>
      </c>
      <c r="D9" s="12" t="s">
        <v>55</v>
      </c>
      <c r="E9" s="30" t="n">
        <v>31.43</v>
      </c>
      <c r="F9" s="31" t="n">
        <v>29</v>
      </c>
      <c r="G9" s="31" t="n">
        <v>37</v>
      </c>
      <c r="H9" s="32" t="n">
        <v>1.4</v>
      </c>
      <c r="I9" s="33" t="s">
        <v>18</v>
      </c>
      <c r="J9" s="31" t="n">
        <v>13</v>
      </c>
      <c r="K9" s="34" t="n">
        <f aca="false">E9*F9</f>
        <v>911.47</v>
      </c>
    </row>
    <row r="10" customFormat="false" ht="19.5" hidden="false" customHeight="true" outlineLevel="0" collapsed="false">
      <c r="A10" s="23" t="s">
        <v>56</v>
      </c>
      <c r="B10" s="17" t="s">
        <v>57</v>
      </c>
      <c r="C10" s="17" t="s">
        <v>27</v>
      </c>
      <c r="D10" s="17" t="s">
        <v>58</v>
      </c>
      <c r="E10" s="24" t="n">
        <v>148.92</v>
      </c>
      <c r="F10" s="25" t="n">
        <v>270</v>
      </c>
      <c r="G10" s="25" t="n">
        <v>61</v>
      </c>
      <c r="H10" s="26" t="n">
        <v>17.6</v>
      </c>
      <c r="I10" s="27" t="s">
        <v>17</v>
      </c>
      <c r="J10" s="25" t="n">
        <v>3</v>
      </c>
      <c r="K10" s="28" t="n">
        <f aca="false">E10*F10</f>
        <v>40208.4</v>
      </c>
    </row>
    <row r="11" customFormat="false" ht="19.5" hidden="false" customHeight="true" outlineLevel="0" collapsed="false">
      <c r="A11" s="29" t="s">
        <v>59</v>
      </c>
      <c r="B11" s="12" t="s">
        <v>60</v>
      </c>
      <c r="C11" s="12" t="s">
        <v>26</v>
      </c>
      <c r="D11" s="12" t="s">
        <v>61</v>
      </c>
      <c r="E11" s="30" t="n">
        <v>85.27</v>
      </c>
      <c r="F11" s="31" t="n">
        <v>209</v>
      </c>
      <c r="G11" s="31" t="n">
        <v>23</v>
      </c>
      <c r="H11" s="32" t="n">
        <v>20.2</v>
      </c>
      <c r="I11" s="33" t="s">
        <v>17</v>
      </c>
      <c r="J11" s="31" t="n">
        <v>15</v>
      </c>
      <c r="K11" s="34" t="n">
        <f aca="false">E11*F11</f>
        <v>17821.43</v>
      </c>
    </row>
    <row r="12" customFormat="false" ht="19.5" hidden="false" customHeight="true" outlineLevel="0" collapsed="false">
      <c r="A12" s="23" t="s">
        <v>62</v>
      </c>
      <c r="B12" s="17" t="s">
        <v>63</v>
      </c>
      <c r="C12" s="17" t="s">
        <v>23</v>
      </c>
      <c r="D12" s="17" t="s">
        <v>39</v>
      </c>
      <c r="E12" s="24" t="n">
        <v>89.8</v>
      </c>
      <c r="F12" s="25" t="n">
        <v>397</v>
      </c>
      <c r="G12" s="25" t="n">
        <v>57</v>
      </c>
      <c r="H12" s="26" t="n">
        <v>19.8</v>
      </c>
      <c r="I12" s="27" t="s">
        <v>17</v>
      </c>
      <c r="J12" s="25" t="n">
        <v>21</v>
      </c>
      <c r="K12" s="28" t="n">
        <f aca="false">E12*F12</f>
        <v>35650.6</v>
      </c>
    </row>
    <row r="13" customFormat="false" ht="19.5" hidden="false" customHeight="true" outlineLevel="0" collapsed="false">
      <c r="A13" s="29" t="s">
        <v>64</v>
      </c>
      <c r="B13" s="12" t="s">
        <v>65</v>
      </c>
      <c r="C13" s="12" t="s">
        <v>23</v>
      </c>
      <c r="D13" s="12" t="s">
        <v>47</v>
      </c>
      <c r="E13" s="30" t="n">
        <v>71.56</v>
      </c>
      <c r="F13" s="31" t="n">
        <v>206</v>
      </c>
      <c r="G13" s="31" t="n">
        <v>37</v>
      </c>
      <c r="H13" s="32" t="n">
        <v>20.5</v>
      </c>
      <c r="I13" s="33" t="s">
        <v>17</v>
      </c>
      <c r="J13" s="31" t="n">
        <v>17</v>
      </c>
      <c r="K13" s="34" t="n">
        <f aca="false">E13*F13</f>
        <v>14741.36</v>
      </c>
    </row>
    <row r="14" customFormat="false" ht="19.5" hidden="false" customHeight="true" outlineLevel="0" collapsed="false">
      <c r="A14" s="23" t="s">
        <v>66</v>
      </c>
      <c r="B14" s="17" t="s">
        <v>67</v>
      </c>
      <c r="C14" s="17" t="s">
        <v>28</v>
      </c>
      <c r="D14" s="17" t="s">
        <v>39</v>
      </c>
      <c r="E14" s="24" t="n">
        <v>200.31</v>
      </c>
      <c r="F14" s="25" t="n">
        <v>93</v>
      </c>
      <c r="G14" s="25" t="n">
        <v>64</v>
      </c>
      <c r="H14" s="26" t="n">
        <v>16.5</v>
      </c>
      <c r="I14" s="27" t="s">
        <v>17</v>
      </c>
      <c r="J14" s="25" t="n">
        <v>20</v>
      </c>
      <c r="K14" s="28" t="n">
        <f aca="false">E14*F14</f>
        <v>18628.83</v>
      </c>
    </row>
    <row r="15" customFormat="false" ht="19.5" hidden="false" customHeight="true" outlineLevel="0" collapsed="false">
      <c r="A15" s="29" t="s">
        <v>68</v>
      </c>
      <c r="B15" s="12" t="s">
        <v>69</v>
      </c>
      <c r="C15" s="12" t="s">
        <v>27</v>
      </c>
      <c r="D15" s="12" t="s">
        <v>36</v>
      </c>
      <c r="E15" s="30" t="n">
        <v>180.92</v>
      </c>
      <c r="F15" s="31" t="n">
        <v>421</v>
      </c>
      <c r="G15" s="31" t="n">
        <v>55</v>
      </c>
      <c r="H15" s="32" t="n">
        <v>86.6</v>
      </c>
      <c r="I15" s="33" t="s">
        <v>17</v>
      </c>
      <c r="J15" s="31" t="n">
        <v>6</v>
      </c>
      <c r="K15" s="34" t="n">
        <f aca="false">E15*F15</f>
        <v>76167.32</v>
      </c>
    </row>
    <row r="16" customFormat="false" ht="19.5" hidden="false" customHeight="true" outlineLevel="0" collapsed="false">
      <c r="A16" s="23" t="s">
        <v>70</v>
      </c>
      <c r="B16" s="17" t="s">
        <v>71</v>
      </c>
      <c r="C16" s="17" t="s">
        <v>28</v>
      </c>
      <c r="D16" s="17" t="s">
        <v>61</v>
      </c>
      <c r="E16" s="24" t="n">
        <v>69.61</v>
      </c>
      <c r="F16" s="25" t="n">
        <v>364</v>
      </c>
      <c r="G16" s="25" t="n">
        <v>46</v>
      </c>
      <c r="H16" s="26" t="n">
        <v>21.3</v>
      </c>
      <c r="I16" s="27" t="s">
        <v>17</v>
      </c>
      <c r="J16" s="25" t="n">
        <v>14</v>
      </c>
      <c r="K16" s="28" t="n">
        <f aca="false">E16*F16</f>
        <v>25338.04</v>
      </c>
    </row>
    <row r="17" customFormat="false" ht="19.5" hidden="false" customHeight="true" outlineLevel="0" collapsed="false">
      <c r="A17" s="29" t="s">
        <v>72</v>
      </c>
      <c r="B17" s="12" t="s">
        <v>73</v>
      </c>
      <c r="C17" s="12" t="s">
        <v>25</v>
      </c>
      <c r="D17" s="12" t="s">
        <v>74</v>
      </c>
      <c r="E17" s="30" t="n">
        <v>157.18</v>
      </c>
      <c r="F17" s="31" t="n">
        <v>263</v>
      </c>
      <c r="G17" s="31" t="n">
        <v>65</v>
      </c>
      <c r="H17" s="32" t="n">
        <v>19.8</v>
      </c>
      <c r="I17" s="33" t="s">
        <v>17</v>
      </c>
      <c r="J17" s="31" t="n">
        <v>16</v>
      </c>
      <c r="K17" s="34" t="n">
        <f aca="false">E17*F17</f>
        <v>41338.34</v>
      </c>
    </row>
    <row r="18" customFormat="false" ht="19.5" hidden="false" customHeight="true" outlineLevel="0" collapsed="false">
      <c r="A18" s="23" t="s">
        <v>75</v>
      </c>
      <c r="B18" s="17" t="s">
        <v>76</v>
      </c>
      <c r="C18" s="17" t="s">
        <v>27</v>
      </c>
      <c r="D18" s="17" t="s">
        <v>39</v>
      </c>
      <c r="E18" s="24" t="n">
        <v>50.91</v>
      </c>
      <c r="F18" s="25" t="n">
        <v>377</v>
      </c>
      <c r="G18" s="25" t="n">
        <v>78</v>
      </c>
      <c r="H18" s="26" t="n">
        <v>17.2</v>
      </c>
      <c r="I18" s="27" t="s">
        <v>17</v>
      </c>
      <c r="J18" s="25" t="n">
        <v>7</v>
      </c>
      <c r="K18" s="28" t="n">
        <f aca="false">E18*F18</f>
        <v>19193.07</v>
      </c>
    </row>
    <row r="19" customFormat="false" ht="19.5" hidden="false" customHeight="true" outlineLevel="0" collapsed="false">
      <c r="A19" s="29" t="s">
        <v>77</v>
      </c>
      <c r="B19" s="12" t="s">
        <v>78</v>
      </c>
      <c r="C19" s="12" t="s">
        <v>25</v>
      </c>
      <c r="D19" s="12" t="s">
        <v>61</v>
      </c>
      <c r="E19" s="30" t="n">
        <v>125.92</v>
      </c>
      <c r="F19" s="31" t="n">
        <v>305</v>
      </c>
      <c r="G19" s="31" t="n">
        <v>67</v>
      </c>
      <c r="H19" s="32" t="n">
        <v>38</v>
      </c>
      <c r="I19" s="33" t="s">
        <v>17</v>
      </c>
      <c r="J19" s="31" t="n">
        <v>11</v>
      </c>
      <c r="K19" s="34" t="n">
        <f aca="false">E19*F19</f>
        <v>38405.6</v>
      </c>
    </row>
    <row r="20" customFormat="false" ht="19.5" hidden="false" customHeight="true" outlineLevel="0" collapsed="false">
      <c r="A20" s="23" t="s">
        <v>79</v>
      </c>
      <c r="B20" s="17" t="s">
        <v>80</v>
      </c>
      <c r="C20" s="17" t="s">
        <v>25</v>
      </c>
      <c r="D20" s="17" t="s">
        <v>81</v>
      </c>
      <c r="E20" s="24" t="n">
        <v>168.76</v>
      </c>
      <c r="F20" s="25" t="n">
        <v>369</v>
      </c>
      <c r="G20" s="25" t="n">
        <v>74</v>
      </c>
      <c r="H20" s="26" t="n">
        <v>26.4</v>
      </c>
      <c r="I20" s="27" t="s">
        <v>17</v>
      </c>
      <c r="J20" s="25" t="n">
        <v>20</v>
      </c>
      <c r="K20" s="28" t="n">
        <f aca="false">E20*F20</f>
        <v>62272.44</v>
      </c>
    </row>
    <row r="21" customFormat="false" ht="19.5" hidden="false" customHeight="true" outlineLevel="0" collapsed="false">
      <c r="A21" s="29" t="s">
        <v>82</v>
      </c>
      <c r="B21" s="12" t="s">
        <v>83</v>
      </c>
      <c r="C21" s="12" t="s">
        <v>24</v>
      </c>
      <c r="D21" s="12" t="s">
        <v>81</v>
      </c>
      <c r="E21" s="30" t="n">
        <v>207.34</v>
      </c>
      <c r="F21" s="31" t="n">
        <v>297</v>
      </c>
      <c r="G21" s="31" t="n">
        <v>55</v>
      </c>
      <c r="H21" s="32" t="n">
        <v>13.5</v>
      </c>
      <c r="I21" s="33" t="s">
        <v>17</v>
      </c>
      <c r="J21" s="31" t="n">
        <v>7</v>
      </c>
      <c r="K21" s="34" t="n">
        <f aca="false">E21*F21</f>
        <v>61579.98</v>
      </c>
    </row>
    <row r="22" customFormat="false" ht="19.5" hidden="false" customHeight="true" outlineLevel="0" collapsed="false">
      <c r="A22" s="23" t="s">
        <v>84</v>
      </c>
      <c r="B22" s="17" t="s">
        <v>85</v>
      </c>
      <c r="C22" s="17" t="s">
        <v>23</v>
      </c>
      <c r="D22" s="17" t="s">
        <v>74</v>
      </c>
      <c r="E22" s="24" t="n">
        <v>240.06</v>
      </c>
      <c r="F22" s="25" t="n">
        <v>367</v>
      </c>
      <c r="G22" s="25" t="n">
        <v>34</v>
      </c>
      <c r="H22" s="26" t="n">
        <v>62.6</v>
      </c>
      <c r="I22" s="27" t="s">
        <v>17</v>
      </c>
      <c r="J22" s="25" t="n">
        <v>14</v>
      </c>
      <c r="K22" s="28" t="n">
        <f aca="false">E22*F22</f>
        <v>88102.02</v>
      </c>
    </row>
    <row r="23" customFormat="false" ht="19.5" hidden="false" customHeight="true" outlineLevel="0" collapsed="false">
      <c r="A23" s="29" t="s">
        <v>86</v>
      </c>
      <c r="B23" s="12" t="s">
        <v>87</v>
      </c>
      <c r="C23" s="12" t="s">
        <v>24</v>
      </c>
      <c r="D23" s="12" t="s">
        <v>39</v>
      </c>
      <c r="E23" s="30" t="n">
        <v>38.49</v>
      </c>
      <c r="F23" s="31" t="n">
        <v>495</v>
      </c>
      <c r="G23" s="31" t="n">
        <v>67</v>
      </c>
      <c r="H23" s="32" t="n">
        <v>19.9</v>
      </c>
      <c r="I23" s="33" t="s">
        <v>17</v>
      </c>
      <c r="J23" s="31" t="n">
        <v>17</v>
      </c>
      <c r="K23" s="34" t="n">
        <f aca="false">E23*F23</f>
        <v>19052.55</v>
      </c>
    </row>
    <row r="24" customFormat="false" ht="19.5" hidden="false" customHeight="true" outlineLevel="0" collapsed="false">
      <c r="A24" s="23" t="s">
        <v>88</v>
      </c>
      <c r="B24" s="17" t="s">
        <v>89</v>
      </c>
      <c r="C24" s="17" t="s">
        <v>24</v>
      </c>
      <c r="D24" s="17" t="s">
        <v>74</v>
      </c>
      <c r="E24" s="24" t="n">
        <v>249.23</v>
      </c>
      <c r="F24" s="25" t="n">
        <v>139</v>
      </c>
      <c r="G24" s="25" t="n">
        <v>75</v>
      </c>
      <c r="H24" s="26" t="n">
        <v>13</v>
      </c>
      <c r="I24" s="27" t="s">
        <v>17</v>
      </c>
      <c r="J24" s="25" t="n">
        <v>9</v>
      </c>
      <c r="K24" s="28" t="n">
        <f aca="false">E24*F24</f>
        <v>34642.97</v>
      </c>
    </row>
    <row r="25" customFormat="false" ht="19.5" hidden="false" customHeight="true" outlineLevel="0" collapsed="false">
      <c r="A25" s="29" t="s">
        <v>90</v>
      </c>
      <c r="B25" s="12" t="s">
        <v>91</v>
      </c>
      <c r="C25" s="12" t="s">
        <v>23</v>
      </c>
      <c r="D25" s="12" t="s">
        <v>36</v>
      </c>
      <c r="E25" s="30" t="n">
        <v>102.66</v>
      </c>
      <c r="F25" s="31" t="n">
        <v>135</v>
      </c>
      <c r="G25" s="31" t="n">
        <v>25</v>
      </c>
      <c r="H25" s="32" t="n">
        <v>8.6</v>
      </c>
      <c r="I25" s="33" t="s">
        <v>17</v>
      </c>
      <c r="J25" s="31" t="n">
        <v>5</v>
      </c>
      <c r="K25" s="34" t="n">
        <f aca="false">E25*F25</f>
        <v>13859.1</v>
      </c>
    </row>
    <row r="26" customFormat="false" ht="19.5" hidden="false" customHeight="true" outlineLevel="0" collapsed="false">
      <c r="A26" s="23" t="s">
        <v>92</v>
      </c>
      <c r="B26" s="17" t="s">
        <v>93</v>
      </c>
      <c r="C26" s="17" t="s">
        <v>27</v>
      </c>
      <c r="D26" s="17" t="s">
        <v>74</v>
      </c>
      <c r="E26" s="24" t="n">
        <v>186.85</v>
      </c>
      <c r="F26" s="25" t="n">
        <v>27</v>
      </c>
      <c r="G26" s="25" t="n">
        <v>40</v>
      </c>
      <c r="H26" s="26" t="n">
        <v>1.9</v>
      </c>
      <c r="I26" s="27" t="s">
        <v>18</v>
      </c>
      <c r="J26" s="25" t="n">
        <v>14</v>
      </c>
      <c r="K26" s="28" t="n">
        <f aca="false">E26*F26</f>
        <v>5044.95</v>
      </c>
    </row>
    <row r="27" customFormat="false" ht="19.5" hidden="false" customHeight="true" outlineLevel="0" collapsed="false">
      <c r="A27" s="29" t="s">
        <v>94</v>
      </c>
      <c r="B27" s="12" t="s">
        <v>95</v>
      </c>
      <c r="C27" s="12" t="s">
        <v>24</v>
      </c>
      <c r="D27" s="12" t="s">
        <v>47</v>
      </c>
      <c r="E27" s="30" t="n">
        <v>223.48</v>
      </c>
      <c r="F27" s="31" t="n">
        <v>129</v>
      </c>
      <c r="G27" s="31" t="n">
        <v>48</v>
      </c>
      <c r="H27" s="32" t="n">
        <v>5.5</v>
      </c>
      <c r="I27" s="33" t="s">
        <v>17</v>
      </c>
      <c r="J27" s="31" t="n">
        <v>9</v>
      </c>
      <c r="K27" s="34" t="n">
        <f aca="false">E27*F27</f>
        <v>28828.92</v>
      </c>
    </row>
    <row r="28" customFormat="false" ht="19.5" hidden="false" customHeight="true" outlineLevel="0" collapsed="false">
      <c r="A28" s="23" t="s">
        <v>96</v>
      </c>
      <c r="B28" s="17" t="s">
        <v>97</v>
      </c>
      <c r="C28" s="17" t="s">
        <v>27</v>
      </c>
      <c r="D28" s="17" t="s">
        <v>98</v>
      </c>
      <c r="E28" s="24" t="n">
        <v>28.48</v>
      </c>
      <c r="F28" s="25" t="n">
        <v>88</v>
      </c>
      <c r="G28" s="25" t="n">
        <v>36</v>
      </c>
      <c r="H28" s="26" t="n">
        <v>10.9</v>
      </c>
      <c r="I28" s="27" t="s">
        <v>17</v>
      </c>
      <c r="J28" s="25" t="n">
        <v>21</v>
      </c>
      <c r="K28" s="28" t="n">
        <f aca="false">E28*F28</f>
        <v>2506.24</v>
      </c>
    </row>
    <row r="29" customFormat="false" ht="19.5" hidden="false" customHeight="true" outlineLevel="0" collapsed="false">
      <c r="A29" s="29" t="s">
        <v>99</v>
      </c>
      <c r="B29" s="12" t="s">
        <v>100</v>
      </c>
      <c r="C29" s="12" t="s">
        <v>27</v>
      </c>
      <c r="D29" s="12" t="s">
        <v>74</v>
      </c>
      <c r="E29" s="30" t="n">
        <v>120.49</v>
      </c>
      <c r="F29" s="31" t="n">
        <v>394</v>
      </c>
      <c r="G29" s="31" t="n">
        <v>36</v>
      </c>
      <c r="H29" s="32" t="n">
        <v>19.9</v>
      </c>
      <c r="I29" s="33" t="s">
        <v>17</v>
      </c>
      <c r="J29" s="31" t="n">
        <v>13</v>
      </c>
      <c r="K29" s="34" t="n">
        <f aca="false">E29*F29</f>
        <v>47473.06</v>
      </c>
    </row>
    <row r="30" customFormat="false" ht="19.5" hidden="false" customHeight="true" outlineLevel="0" collapsed="false">
      <c r="A30" s="23" t="s">
        <v>101</v>
      </c>
      <c r="B30" s="17" t="s">
        <v>102</v>
      </c>
      <c r="C30" s="17" t="s">
        <v>25</v>
      </c>
      <c r="D30" s="17" t="s">
        <v>44</v>
      </c>
      <c r="E30" s="24" t="n">
        <v>89.41</v>
      </c>
      <c r="F30" s="25" t="n">
        <v>469</v>
      </c>
      <c r="G30" s="25" t="n">
        <v>43</v>
      </c>
      <c r="H30" s="26" t="n">
        <v>35.5</v>
      </c>
      <c r="I30" s="27" t="s">
        <v>17</v>
      </c>
      <c r="J30" s="25" t="n">
        <v>13</v>
      </c>
      <c r="K30" s="28" t="n">
        <f aca="false">E30*F30</f>
        <v>41933.29</v>
      </c>
    </row>
    <row r="31" customFormat="false" ht="19.5" hidden="false" customHeight="true" outlineLevel="0" collapsed="false">
      <c r="A31" s="29" t="s">
        <v>103</v>
      </c>
      <c r="B31" s="12" t="s">
        <v>104</v>
      </c>
      <c r="C31" s="12" t="s">
        <v>24</v>
      </c>
      <c r="D31" s="12" t="s">
        <v>47</v>
      </c>
      <c r="E31" s="30" t="n">
        <v>148.21</v>
      </c>
      <c r="F31" s="31" t="n">
        <v>144</v>
      </c>
      <c r="G31" s="31" t="n">
        <v>61</v>
      </c>
      <c r="H31" s="32" t="n">
        <v>6.8</v>
      </c>
      <c r="I31" s="33" t="s">
        <v>17</v>
      </c>
      <c r="J31" s="31" t="n">
        <v>11</v>
      </c>
      <c r="K31" s="34" t="n">
        <f aca="false">E31*F31</f>
        <v>21342.24</v>
      </c>
    </row>
    <row r="32" customFormat="false" ht="19.5" hidden="false" customHeight="true" outlineLevel="0" collapsed="false">
      <c r="A32" s="23" t="s">
        <v>105</v>
      </c>
      <c r="B32" s="17" t="s">
        <v>106</v>
      </c>
      <c r="C32" s="17" t="s">
        <v>24</v>
      </c>
      <c r="D32" s="17" t="s">
        <v>58</v>
      </c>
      <c r="E32" s="24" t="n">
        <v>119.12</v>
      </c>
      <c r="F32" s="25" t="n">
        <v>219</v>
      </c>
      <c r="G32" s="25" t="n">
        <v>22</v>
      </c>
      <c r="H32" s="26" t="n">
        <v>17</v>
      </c>
      <c r="I32" s="27" t="s">
        <v>17</v>
      </c>
      <c r="J32" s="25" t="n">
        <v>17</v>
      </c>
      <c r="K32" s="28" t="n">
        <f aca="false">E32*F32</f>
        <v>26087.28</v>
      </c>
    </row>
    <row r="33" customFormat="false" ht="19.5" hidden="false" customHeight="true" outlineLevel="0" collapsed="false">
      <c r="A33" s="29" t="s">
        <v>107</v>
      </c>
      <c r="B33" s="12" t="s">
        <v>108</v>
      </c>
      <c r="C33" s="12" t="s">
        <v>23</v>
      </c>
      <c r="D33" s="12" t="s">
        <v>58</v>
      </c>
      <c r="E33" s="30" t="n">
        <v>58.37</v>
      </c>
      <c r="F33" s="31" t="n">
        <v>128</v>
      </c>
      <c r="G33" s="31" t="n">
        <v>39</v>
      </c>
      <c r="H33" s="32" t="n">
        <v>20.8</v>
      </c>
      <c r="I33" s="33" t="s">
        <v>17</v>
      </c>
      <c r="J33" s="31" t="n">
        <v>9</v>
      </c>
      <c r="K33" s="34" t="n">
        <f aca="false">E33*F33</f>
        <v>7471.36</v>
      </c>
    </row>
    <row r="34" customFormat="false" ht="19.5" hidden="false" customHeight="true" outlineLevel="0" collapsed="false">
      <c r="A34" s="23" t="s">
        <v>109</v>
      </c>
      <c r="B34" s="17" t="s">
        <v>110</v>
      </c>
      <c r="C34" s="17" t="s">
        <v>26</v>
      </c>
      <c r="D34" s="17" t="s">
        <v>98</v>
      </c>
      <c r="E34" s="24" t="n">
        <v>52.25</v>
      </c>
      <c r="F34" s="25" t="n">
        <v>240</v>
      </c>
      <c r="G34" s="25" t="n">
        <v>73</v>
      </c>
      <c r="H34" s="26" t="n">
        <v>108.6</v>
      </c>
      <c r="I34" s="27" t="s">
        <v>17</v>
      </c>
      <c r="J34" s="25" t="n">
        <v>4</v>
      </c>
      <c r="K34" s="28" t="n">
        <f aca="false">E34*F34</f>
        <v>12540</v>
      </c>
    </row>
    <row r="35" customFormat="false" ht="19.5" hidden="false" customHeight="true" outlineLevel="0" collapsed="false">
      <c r="A35" s="29" t="s">
        <v>111</v>
      </c>
      <c r="B35" s="12" t="s">
        <v>112</v>
      </c>
      <c r="C35" s="12" t="s">
        <v>23</v>
      </c>
      <c r="D35" s="12" t="s">
        <v>55</v>
      </c>
      <c r="E35" s="30" t="n">
        <v>132.94</v>
      </c>
      <c r="F35" s="31" t="n">
        <v>483</v>
      </c>
      <c r="G35" s="31" t="n">
        <v>59</v>
      </c>
      <c r="H35" s="32" t="n">
        <v>93.3</v>
      </c>
      <c r="I35" s="33" t="s">
        <v>17</v>
      </c>
      <c r="J35" s="31" t="n">
        <v>15</v>
      </c>
      <c r="K35" s="34" t="n">
        <f aca="false">E35*F35</f>
        <v>64210.02</v>
      </c>
    </row>
    <row r="36" customFormat="false" ht="19.5" hidden="false" customHeight="true" outlineLevel="0" collapsed="false">
      <c r="A36" s="23" t="s">
        <v>113</v>
      </c>
      <c r="B36" s="17" t="s">
        <v>114</v>
      </c>
      <c r="C36" s="17" t="s">
        <v>23</v>
      </c>
      <c r="D36" s="17" t="s">
        <v>50</v>
      </c>
      <c r="E36" s="24" t="n">
        <v>39.71</v>
      </c>
      <c r="F36" s="25" t="n">
        <v>348</v>
      </c>
      <c r="G36" s="25" t="n">
        <v>50</v>
      </c>
      <c r="H36" s="26" t="n">
        <v>59.4</v>
      </c>
      <c r="I36" s="27" t="s">
        <v>17</v>
      </c>
      <c r="J36" s="25" t="n">
        <v>3</v>
      </c>
      <c r="K36" s="28" t="n">
        <f aca="false">E36*F36</f>
        <v>13819.08</v>
      </c>
    </row>
    <row r="37" customFormat="false" ht="19.5" hidden="false" customHeight="true" outlineLevel="0" collapsed="false">
      <c r="A37" s="29" t="s">
        <v>115</v>
      </c>
      <c r="B37" s="12" t="s">
        <v>116</v>
      </c>
      <c r="C37" s="12" t="s">
        <v>24</v>
      </c>
      <c r="D37" s="12" t="s">
        <v>61</v>
      </c>
      <c r="E37" s="30" t="n">
        <v>122.65</v>
      </c>
      <c r="F37" s="31" t="n">
        <v>351</v>
      </c>
      <c r="G37" s="31" t="n">
        <v>27</v>
      </c>
      <c r="H37" s="32" t="n">
        <v>76.6</v>
      </c>
      <c r="I37" s="33" t="s">
        <v>17</v>
      </c>
      <c r="J37" s="31" t="n">
        <v>19</v>
      </c>
      <c r="K37" s="34" t="n">
        <f aca="false">E37*F37</f>
        <v>43050.15</v>
      </c>
    </row>
    <row r="38" customFormat="false" ht="19.5" hidden="false" customHeight="true" outlineLevel="0" collapsed="false">
      <c r="A38" s="23" t="s">
        <v>117</v>
      </c>
      <c r="B38" s="17" t="s">
        <v>118</v>
      </c>
      <c r="C38" s="17" t="s">
        <v>24</v>
      </c>
      <c r="D38" s="17" t="s">
        <v>61</v>
      </c>
      <c r="E38" s="24" t="n">
        <v>171.18</v>
      </c>
      <c r="F38" s="25" t="n">
        <v>264</v>
      </c>
      <c r="G38" s="25" t="n">
        <v>70</v>
      </c>
      <c r="H38" s="26" t="n">
        <v>21.5</v>
      </c>
      <c r="I38" s="27" t="s">
        <v>17</v>
      </c>
      <c r="J38" s="25" t="n">
        <v>9</v>
      </c>
      <c r="K38" s="28" t="n">
        <f aca="false">E38*F38</f>
        <v>45191.52</v>
      </c>
    </row>
    <row r="39" customFormat="false" ht="19.5" hidden="false" customHeight="true" outlineLevel="0" collapsed="false">
      <c r="A39" s="29" t="s">
        <v>119</v>
      </c>
      <c r="B39" s="12" t="s">
        <v>120</v>
      </c>
      <c r="C39" s="12" t="s">
        <v>23</v>
      </c>
      <c r="D39" s="12" t="s">
        <v>81</v>
      </c>
      <c r="E39" s="30" t="n">
        <v>160.16</v>
      </c>
      <c r="F39" s="31" t="n">
        <v>472</v>
      </c>
      <c r="G39" s="31" t="n">
        <v>48</v>
      </c>
      <c r="H39" s="32" t="n">
        <v>29.5</v>
      </c>
      <c r="I39" s="33" t="s">
        <v>17</v>
      </c>
      <c r="J39" s="31" t="n">
        <v>3</v>
      </c>
      <c r="K39" s="34" t="n">
        <f aca="false">E39*F39</f>
        <v>75595.52</v>
      </c>
    </row>
    <row r="40" customFormat="false" ht="19.5" hidden="false" customHeight="true" outlineLevel="0" collapsed="false">
      <c r="A40" s="23" t="s">
        <v>121</v>
      </c>
      <c r="B40" s="17" t="s">
        <v>122</v>
      </c>
      <c r="C40" s="17" t="s">
        <v>27</v>
      </c>
      <c r="D40" s="17" t="s">
        <v>58</v>
      </c>
      <c r="E40" s="24" t="n">
        <v>173.73</v>
      </c>
      <c r="F40" s="25" t="n">
        <v>197</v>
      </c>
      <c r="G40" s="25" t="n">
        <v>62</v>
      </c>
      <c r="H40" s="26" t="n">
        <v>24.6</v>
      </c>
      <c r="I40" s="27" t="s">
        <v>17</v>
      </c>
      <c r="J40" s="25" t="n">
        <v>17</v>
      </c>
      <c r="K40" s="28" t="n">
        <f aca="false">E40*F40</f>
        <v>34224.81</v>
      </c>
    </row>
    <row r="41" customFormat="false" ht="19.5" hidden="false" customHeight="true" outlineLevel="0" collapsed="false">
      <c r="A41" s="29" t="s">
        <v>123</v>
      </c>
      <c r="B41" s="12" t="s">
        <v>124</v>
      </c>
      <c r="C41" s="12" t="s">
        <v>26</v>
      </c>
      <c r="D41" s="12" t="s">
        <v>55</v>
      </c>
      <c r="E41" s="30" t="n">
        <v>156.66</v>
      </c>
      <c r="F41" s="31" t="n">
        <v>95</v>
      </c>
      <c r="G41" s="31" t="n">
        <v>49</v>
      </c>
      <c r="H41" s="32" t="n">
        <v>40.9</v>
      </c>
      <c r="I41" s="33" t="s">
        <v>17</v>
      </c>
      <c r="J41" s="31" t="n">
        <v>3</v>
      </c>
      <c r="K41" s="34" t="n">
        <f aca="false">E41*F41</f>
        <v>14882.7</v>
      </c>
    </row>
    <row r="42" customFormat="false" ht="19.5" hidden="false" customHeight="true" outlineLevel="0" collapsed="false">
      <c r="A42" s="23" t="s">
        <v>125</v>
      </c>
      <c r="B42" s="17" t="s">
        <v>126</v>
      </c>
      <c r="C42" s="17" t="s">
        <v>28</v>
      </c>
      <c r="D42" s="17" t="s">
        <v>81</v>
      </c>
      <c r="E42" s="24" t="n">
        <v>57.07</v>
      </c>
      <c r="F42" s="25" t="n">
        <v>129</v>
      </c>
      <c r="G42" s="25" t="n">
        <v>43</v>
      </c>
      <c r="H42" s="26" t="n">
        <v>17.5</v>
      </c>
      <c r="I42" s="27" t="s">
        <v>17</v>
      </c>
      <c r="J42" s="25" t="n">
        <v>10</v>
      </c>
      <c r="K42" s="28" t="n">
        <f aca="false">E42*F42</f>
        <v>7362.03</v>
      </c>
    </row>
    <row r="43" customFormat="false" ht="19.5" hidden="false" customHeight="true" outlineLevel="0" collapsed="false">
      <c r="A43" s="29" t="s">
        <v>127</v>
      </c>
      <c r="B43" s="12" t="s">
        <v>128</v>
      </c>
      <c r="C43" s="12" t="s">
        <v>26</v>
      </c>
      <c r="D43" s="12" t="s">
        <v>55</v>
      </c>
      <c r="E43" s="30" t="n">
        <v>223.3</v>
      </c>
      <c r="F43" s="31" t="n">
        <v>288</v>
      </c>
      <c r="G43" s="31" t="n">
        <v>58</v>
      </c>
      <c r="H43" s="32" t="n">
        <v>12.1</v>
      </c>
      <c r="I43" s="33" t="s">
        <v>17</v>
      </c>
      <c r="J43" s="31" t="n">
        <v>6</v>
      </c>
      <c r="K43" s="34" t="n">
        <f aca="false">E43*F43</f>
        <v>64310.4</v>
      </c>
    </row>
    <row r="44" customFormat="false" ht="19.5" hidden="false" customHeight="true" outlineLevel="0" collapsed="false">
      <c r="A44" s="23" t="s">
        <v>129</v>
      </c>
      <c r="B44" s="17" t="s">
        <v>130</v>
      </c>
      <c r="C44" s="17" t="s">
        <v>27</v>
      </c>
      <c r="D44" s="17" t="s">
        <v>44</v>
      </c>
      <c r="E44" s="24" t="n">
        <v>225.15</v>
      </c>
      <c r="F44" s="25" t="n">
        <v>394</v>
      </c>
      <c r="G44" s="25" t="n">
        <v>32</v>
      </c>
      <c r="H44" s="26" t="n">
        <v>56</v>
      </c>
      <c r="I44" s="27" t="s">
        <v>17</v>
      </c>
      <c r="J44" s="25" t="n">
        <v>12</v>
      </c>
      <c r="K44" s="28" t="n">
        <f aca="false">E44*F44</f>
        <v>88709.1</v>
      </c>
    </row>
    <row r="45" customFormat="false" ht="19.5" hidden="false" customHeight="true" outlineLevel="0" collapsed="false">
      <c r="A45" s="29" t="s">
        <v>131</v>
      </c>
      <c r="B45" s="12" t="s">
        <v>132</v>
      </c>
      <c r="C45" s="12" t="s">
        <v>25</v>
      </c>
      <c r="D45" s="12" t="s">
        <v>55</v>
      </c>
      <c r="E45" s="30" t="n">
        <v>232.1</v>
      </c>
      <c r="F45" s="31" t="n">
        <v>388</v>
      </c>
      <c r="G45" s="31" t="n">
        <v>68</v>
      </c>
      <c r="H45" s="32" t="n">
        <v>48.6</v>
      </c>
      <c r="I45" s="33" t="s">
        <v>17</v>
      </c>
      <c r="J45" s="31" t="n">
        <v>8</v>
      </c>
      <c r="K45" s="34" t="n">
        <f aca="false">E45*F45</f>
        <v>90054.8</v>
      </c>
    </row>
    <row r="46" customFormat="false" ht="19.5" hidden="false" customHeight="true" outlineLevel="0" collapsed="false">
      <c r="A46" s="23" t="s">
        <v>133</v>
      </c>
      <c r="B46" s="17" t="s">
        <v>134</v>
      </c>
      <c r="C46" s="17" t="s">
        <v>28</v>
      </c>
      <c r="D46" s="17" t="s">
        <v>135</v>
      </c>
      <c r="E46" s="24" t="n">
        <v>89.11</v>
      </c>
      <c r="F46" s="25" t="n">
        <v>440</v>
      </c>
      <c r="G46" s="25" t="n">
        <v>29</v>
      </c>
      <c r="H46" s="26" t="n">
        <v>23.2</v>
      </c>
      <c r="I46" s="27" t="s">
        <v>17</v>
      </c>
      <c r="J46" s="25" t="n">
        <v>8</v>
      </c>
      <c r="K46" s="28" t="n">
        <f aca="false">E46*F46</f>
        <v>39208.4</v>
      </c>
    </row>
    <row r="47" customFormat="false" ht="19.5" hidden="false" customHeight="true" outlineLevel="0" collapsed="false">
      <c r="A47" s="29" t="s">
        <v>136</v>
      </c>
      <c r="B47" s="12" t="s">
        <v>137</v>
      </c>
      <c r="C47" s="12" t="s">
        <v>28</v>
      </c>
      <c r="D47" s="12" t="s">
        <v>74</v>
      </c>
      <c r="E47" s="30" t="n">
        <v>154</v>
      </c>
      <c r="F47" s="31" t="n">
        <v>279</v>
      </c>
      <c r="G47" s="31" t="n">
        <v>41</v>
      </c>
      <c r="H47" s="32" t="n">
        <v>23.9</v>
      </c>
      <c r="I47" s="33" t="s">
        <v>17</v>
      </c>
      <c r="J47" s="31" t="n">
        <v>12</v>
      </c>
      <c r="K47" s="34" t="n">
        <f aca="false">E47*F47</f>
        <v>42966</v>
      </c>
    </row>
    <row r="48" customFormat="false" ht="19.5" hidden="false" customHeight="true" outlineLevel="0" collapsed="false">
      <c r="A48" s="23" t="s">
        <v>138</v>
      </c>
      <c r="B48" s="17" t="s">
        <v>139</v>
      </c>
      <c r="C48" s="17" t="s">
        <v>27</v>
      </c>
      <c r="D48" s="17" t="s">
        <v>39</v>
      </c>
      <c r="E48" s="24" t="n">
        <v>203.28</v>
      </c>
      <c r="F48" s="25" t="n">
        <v>26</v>
      </c>
      <c r="G48" s="25" t="n">
        <v>53</v>
      </c>
      <c r="H48" s="26" t="n">
        <v>1.2</v>
      </c>
      <c r="I48" s="27" t="s">
        <v>18</v>
      </c>
      <c r="J48" s="25" t="n">
        <v>15</v>
      </c>
      <c r="K48" s="28" t="n">
        <f aca="false">E48*F48</f>
        <v>5285.28</v>
      </c>
    </row>
    <row r="49" customFormat="false" ht="19.5" hidden="false" customHeight="true" outlineLevel="0" collapsed="false">
      <c r="A49" s="29" t="s">
        <v>140</v>
      </c>
      <c r="B49" s="12" t="s">
        <v>141</v>
      </c>
      <c r="C49" s="12" t="s">
        <v>28</v>
      </c>
      <c r="D49" s="12" t="s">
        <v>44</v>
      </c>
      <c r="E49" s="30" t="n">
        <v>100.04</v>
      </c>
      <c r="F49" s="31" t="n">
        <v>382</v>
      </c>
      <c r="G49" s="31" t="n">
        <v>25</v>
      </c>
      <c r="H49" s="32" t="n">
        <v>126.8</v>
      </c>
      <c r="I49" s="33" t="s">
        <v>17</v>
      </c>
      <c r="J49" s="31" t="n">
        <v>10</v>
      </c>
      <c r="K49" s="34" t="n">
        <f aca="false">E49*F49</f>
        <v>38215.28</v>
      </c>
    </row>
    <row r="50" customFormat="false" ht="19.5" hidden="false" customHeight="true" outlineLevel="0" collapsed="false">
      <c r="A50" s="23" t="s">
        <v>142</v>
      </c>
      <c r="B50" s="17" t="s">
        <v>143</v>
      </c>
      <c r="C50" s="17" t="s">
        <v>25</v>
      </c>
      <c r="D50" s="17" t="s">
        <v>36</v>
      </c>
      <c r="E50" s="24" t="n">
        <v>136.59</v>
      </c>
      <c r="F50" s="25" t="n">
        <v>340</v>
      </c>
      <c r="G50" s="25" t="n">
        <v>62</v>
      </c>
      <c r="H50" s="26" t="n">
        <v>15.8</v>
      </c>
      <c r="I50" s="27" t="s">
        <v>17</v>
      </c>
      <c r="J50" s="25" t="n">
        <v>18</v>
      </c>
      <c r="K50" s="28" t="n">
        <f aca="false">E50*F50</f>
        <v>46440.6</v>
      </c>
    </row>
    <row r="51" customFormat="false" ht="19.5" hidden="false" customHeight="true" outlineLevel="0" collapsed="false">
      <c r="A51" s="29" t="s">
        <v>144</v>
      </c>
      <c r="B51" s="12" t="s">
        <v>145</v>
      </c>
      <c r="C51" s="12" t="s">
        <v>24</v>
      </c>
      <c r="D51" s="12" t="s">
        <v>98</v>
      </c>
      <c r="E51" s="30" t="n">
        <v>72.37</v>
      </c>
      <c r="F51" s="31" t="n">
        <v>402</v>
      </c>
      <c r="G51" s="31" t="n">
        <v>20</v>
      </c>
      <c r="H51" s="32" t="n">
        <v>29.1</v>
      </c>
      <c r="I51" s="33" t="s">
        <v>17</v>
      </c>
      <c r="J51" s="31" t="n">
        <v>11</v>
      </c>
      <c r="K51" s="34" t="n">
        <f aca="false">E51*F51</f>
        <v>29092.74</v>
      </c>
    </row>
    <row r="52" customFormat="false" ht="19.5" hidden="false" customHeight="true" outlineLevel="0" collapsed="false">
      <c r="A52" s="23" t="s">
        <v>146</v>
      </c>
      <c r="B52" s="17" t="s">
        <v>147</v>
      </c>
      <c r="C52" s="17" t="s">
        <v>25</v>
      </c>
      <c r="D52" s="17" t="s">
        <v>98</v>
      </c>
      <c r="E52" s="24" t="n">
        <v>46.65</v>
      </c>
      <c r="F52" s="25" t="n">
        <v>215</v>
      </c>
      <c r="G52" s="25" t="n">
        <v>65</v>
      </c>
      <c r="H52" s="26" t="n">
        <v>20</v>
      </c>
      <c r="I52" s="27" t="s">
        <v>17</v>
      </c>
      <c r="J52" s="25" t="n">
        <v>10</v>
      </c>
      <c r="K52" s="28" t="n">
        <f aca="false">E52*F52</f>
        <v>10029.75</v>
      </c>
    </row>
    <row r="53" customFormat="false" ht="19.5" hidden="false" customHeight="true" outlineLevel="0" collapsed="false">
      <c r="A53" s="29" t="s">
        <v>148</v>
      </c>
      <c r="B53" s="12" t="s">
        <v>149</v>
      </c>
      <c r="C53" s="12" t="s">
        <v>28</v>
      </c>
      <c r="D53" s="12" t="s">
        <v>98</v>
      </c>
      <c r="E53" s="30" t="n">
        <v>225.05</v>
      </c>
      <c r="F53" s="31" t="n">
        <v>106</v>
      </c>
      <c r="G53" s="31" t="n">
        <v>23</v>
      </c>
      <c r="H53" s="32" t="n">
        <v>6.1</v>
      </c>
      <c r="I53" s="33" t="s">
        <v>17</v>
      </c>
      <c r="J53" s="31" t="n">
        <v>4</v>
      </c>
      <c r="K53" s="34" t="n">
        <f aca="false">E53*F53</f>
        <v>23855.3</v>
      </c>
    </row>
    <row r="54" customFormat="false" ht="19.5" hidden="false" customHeight="true" outlineLevel="0" collapsed="false">
      <c r="A54" s="23" t="s">
        <v>150</v>
      </c>
      <c r="B54" s="17" t="s">
        <v>151</v>
      </c>
      <c r="C54" s="17" t="s">
        <v>28</v>
      </c>
      <c r="D54" s="17" t="s">
        <v>36</v>
      </c>
      <c r="E54" s="24" t="n">
        <v>128.21</v>
      </c>
      <c r="F54" s="25" t="n">
        <v>170</v>
      </c>
      <c r="G54" s="25" t="n">
        <v>72</v>
      </c>
      <c r="H54" s="26" t="n">
        <v>8.2</v>
      </c>
      <c r="I54" s="27" t="s">
        <v>17</v>
      </c>
      <c r="J54" s="25" t="n">
        <v>18</v>
      </c>
      <c r="K54" s="28" t="n">
        <f aca="false">E54*F54</f>
        <v>21795.7</v>
      </c>
    </row>
    <row r="55" customFormat="false" ht="19.5" hidden="false" customHeight="true" outlineLevel="0" collapsed="false">
      <c r="A55" s="29" t="s">
        <v>152</v>
      </c>
      <c r="B55" s="12" t="s">
        <v>153</v>
      </c>
      <c r="C55" s="12" t="s">
        <v>25</v>
      </c>
      <c r="D55" s="12" t="s">
        <v>58</v>
      </c>
      <c r="E55" s="30" t="n">
        <v>183.35</v>
      </c>
      <c r="F55" s="31" t="n">
        <v>185</v>
      </c>
      <c r="G55" s="31" t="n">
        <v>39</v>
      </c>
      <c r="H55" s="32" t="n">
        <v>8.4</v>
      </c>
      <c r="I55" s="33" t="s">
        <v>17</v>
      </c>
      <c r="J55" s="31" t="n">
        <v>14</v>
      </c>
      <c r="K55" s="34" t="n">
        <f aca="false">E55*F55</f>
        <v>33919.75</v>
      </c>
    </row>
    <row r="56" customFormat="false" ht="19.5" hidden="false" customHeight="true" outlineLevel="0" collapsed="false">
      <c r="A56" s="23" t="s">
        <v>154</v>
      </c>
      <c r="B56" s="17" t="s">
        <v>155</v>
      </c>
      <c r="C56" s="17" t="s">
        <v>28</v>
      </c>
      <c r="D56" s="17" t="s">
        <v>58</v>
      </c>
      <c r="E56" s="24" t="n">
        <v>29.78</v>
      </c>
      <c r="F56" s="25" t="n">
        <v>465</v>
      </c>
      <c r="G56" s="25" t="n">
        <v>74</v>
      </c>
      <c r="H56" s="26" t="n">
        <v>20.4</v>
      </c>
      <c r="I56" s="27" t="s">
        <v>17</v>
      </c>
      <c r="J56" s="25" t="n">
        <v>8</v>
      </c>
      <c r="K56" s="28" t="n">
        <f aca="false">E56*F56</f>
        <v>13847.7</v>
      </c>
    </row>
    <row r="57" customFormat="false" ht="19.5" hidden="false" customHeight="true" outlineLevel="0" collapsed="false">
      <c r="A57" s="29" t="s">
        <v>156</v>
      </c>
      <c r="B57" s="12" t="s">
        <v>157</v>
      </c>
      <c r="C57" s="12" t="s">
        <v>25</v>
      </c>
      <c r="D57" s="12" t="s">
        <v>44</v>
      </c>
      <c r="E57" s="30" t="n">
        <v>190.38</v>
      </c>
      <c r="F57" s="31" t="n">
        <v>236</v>
      </c>
      <c r="G57" s="31" t="n">
        <v>48</v>
      </c>
      <c r="H57" s="32" t="n">
        <v>17.6</v>
      </c>
      <c r="I57" s="33" t="s">
        <v>17</v>
      </c>
      <c r="J57" s="31" t="n">
        <v>17</v>
      </c>
      <c r="K57" s="34" t="n">
        <f aca="false">E57*F57</f>
        <v>44929.68</v>
      </c>
    </row>
    <row r="58" customFormat="false" ht="19.5" hidden="false" customHeight="true" outlineLevel="0" collapsed="false">
      <c r="A58" s="23" t="s">
        <v>158</v>
      </c>
      <c r="B58" s="17" t="s">
        <v>159</v>
      </c>
      <c r="C58" s="17" t="s">
        <v>24</v>
      </c>
      <c r="D58" s="17" t="s">
        <v>74</v>
      </c>
      <c r="E58" s="24" t="n">
        <v>167.17</v>
      </c>
      <c r="F58" s="25" t="n">
        <v>273</v>
      </c>
      <c r="G58" s="25" t="n">
        <v>66</v>
      </c>
      <c r="H58" s="26" t="n">
        <v>50.8</v>
      </c>
      <c r="I58" s="27" t="s">
        <v>17</v>
      </c>
      <c r="J58" s="25" t="n">
        <v>16</v>
      </c>
      <c r="K58" s="28" t="n">
        <f aca="false">E58*F58</f>
        <v>45637.41</v>
      </c>
    </row>
    <row r="59" customFormat="false" ht="19.5" hidden="false" customHeight="true" outlineLevel="0" collapsed="false">
      <c r="A59" s="29" t="s">
        <v>160</v>
      </c>
      <c r="B59" s="12" t="s">
        <v>161</v>
      </c>
      <c r="C59" s="12" t="s">
        <v>27</v>
      </c>
      <c r="D59" s="12" t="s">
        <v>58</v>
      </c>
      <c r="E59" s="30" t="n">
        <v>45.5</v>
      </c>
      <c r="F59" s="31" t="n">
        <v>302</v>
      </c>
      <c r="G59" s="31" t="n">
        <v>21</v>
      </c>
      <c r="H59" s="32" t="n">
        <v>14.2</v>
      </c>
      <c r="I59" s="33" t="s">
        <v>17</v>
      </c>
      <c r="J59" s="31" t="n">
        <v>20</v>
      </c>
      <c r="K59" s="34" t="n">
        <f aca="false">E59*F59</f>
        <v>13741</v>
      </c>
    </row>
    <row r="60" customFormat="false" ht="19.5" hidden="false" customHeight="true" outlineLevel="0" collapsed="false">
      <c r="A60" s="23" t="s">
        <v>162</v>
      </c>
      <c r="B60" s="17" t="s">
        <v>163</v>
      </c>
      <c r="C60" s="17" t="s">
        <v>26</v>
      </c>
      <c r="D60" s="17" t="s">
        <v>58</v>
      </c>
      <c r="E60" s="24" t="n">
        <v>98.27</v>
      </c>
      <c r="F60" s="25" t="n">
        <v>146</v>
      </c>
      <c r="G60" s="25" t="n">
        <v>31</v>
      </c>
      <c r="H60" s="26" t="n">
        <v>9.2</v>
      </c>
      <c r="I60" s="27" t="s">
        <v>17</v>
      </c>
      <c r="J60" s="25" t="n">
        <v>18</v>
      </c>
      <c r="K60" s="28" t="n">
        <f aca="false">E60*F60</f>
        <v>14347.42</v>
      </c>
    </row>
    <row r="61" customFormat="false" ht="19.5" hidden="false" customHeight="true" outlineLevel="0" collapsed="false">
      <c r="A61" s="29" t="s">
        <v>164</v>
      </c>
      <c r="B61" s="12" t="s">
        <v>165</v>
      </c>
      <c r="C61" s="12" t="s">
        <v>25</v>
      </c>
      <c r="D61" s="12" t="s">
        <v>98</v>
      </c>
      <c r="E61" s="30" t="n">
        <v>154.69</v>
      </c>
      <c r="F61" s="31" t="n">
        <v>229</v>
      </c>
      <c r="G61" s="31" t="n">
        <v>62</v>
      </c>
      <c r="H61" s="32" t="n">
        <v>13.6</v>
      </c>
      <c r="I61" s="33" t="s">
        <v>17</v>
      </c>
      <c r="J61" s="31" t="n">
        <v>3</v>
      </c>
      <c r="K61" s="34" t="n">
        <f aca="false">E61*F61</f>
        <v>35424.01</v>
      </c>
    </row>
    <row r="62" customFormat="false" ht="19.5" hidden="false" customHeight="true" outlineLevel="0" collapsed="false">
      <c r="A62" s="23" t="s">
        <v>166</v>
      </c>
      <c r="B62" s="17" t="s">
        <v>167</v>
      </c>
      <c r="C62" s="17" t="s">
        <v>25</v>
      </c>
      <c r="D62" s="17" t="s">
        <v>39</v>
      </c>
      <c r="E62" s="24" t="n">
        <v>42.31</v>
      </c>
      <c r="F62" s="25" t="n">
        <v>441</v>
      </c>
      <c r="G62" s="25" t="n">
        <v>45</v>
      </c>
      <c r="H62" s="26" t="n">
        <v>33.6</v>
      </c>
      <c r="I62" s="27" t="s">
        <v>17</v>
      </c>
      <c r="J62" s="25" t="n">
        <v>21</v>
      </c>
      <c r="K62" s="28" t="n">
        <f aca="false">E62*F62</f>
        <v>18658.71</v>
      </c>
    </row>
    <row r="63" customFormat="false" ht="19.5" hidden="false" customHeight="true" outlineLevel="0" collapsed="false">
      <c r="A63" s="29" t="s">
        <v>168</v>
      </c>
      <c r="B63" s="12" t="s">
        <v>169</v>
      </c>
      <c r="C63" s="12" t="s">
        <v>25</v>
      </c>
      <c r="D63" s="12" t="s">
        <v>135</v>
      </c>
      <c r="E63" s="30" t="n">
        <v>46.98</v>
      </c>
      <c r="F63" s="31" t="n">
        <v>140</v>
      </c>
      <c r="G63" s="31" t="n">
        <v>76</v>
      </c>
      <c r="H63" s="32" t="n">
        <v>17.4</v>
      </c>
      <c r="I63" s="33" t="s">
        <v>17</v>
      </c>
      <c r="J63" s="31" t="n">
        <v>7</v>
      </c>
      <c r="K63" s="34" t="n">
        <f aca="false">E63*F63</f>
        <v>6577.2</v>
      </c>
    </row>
    <row r="64" customFormat="false" ht="19.5" hidden="false" customHeight="true" outlineLevel="0" collapsed="false">
      <c r="A64" s="23" t="s">
        <v>170</v>
      </c>
      <c r="B64" s="17" t="s">
        <v>171</v>
      </c>
      <c r="C64" s="17" t="s">
        <v>24</v>
      </c>
      <c r="D64" s="17" t="s">
        <v>74</v>
      </c>
      <c r="E64" s="24" t="n">
        <v>158.82</v>
      </c>
      <c r="F64" s="25" t="n">
        <v>248</v>
      </c>
      <c r="G64" s="25" t="n">
        <v>36</v>
      </c>
      <c r="H64" s="26" t="n">
        <v>16.7</v>
      </c>
      <c r="I64" s="27" t="s">
        <v>17</v>
      </c>
      <c r="J64" s="25" t="n">
        <v>12</v>
      </c>
      <c r="K64" s="28" t="n">
        <f aca="false">E64*F64</f>
        <v>39387.36</v>
      </c>
    </row>
    <row r="65" customFormat="false" ht="19.5" hidden="false" customHeight="true" outlineLevel="0" collapsed="false">
      <c r="A65" s="29" t="s">
        <v>172</v>
      </c>
      <c r="B65" s="12" t="s">
        <v>173</v>
      </c>
      <c r="C65" s="12" t="s">
        <v>28</v>
      </c>
      <c r="D65" s="12" t="s">
        <v>81</v>
      </c>
      <c r="E65" s="30" t="n">
        <v>132.51</v>
      </c>
      <c r="F65" s="31" t="n">
        <v>475</v>
      </c>
      <c r="G65" s="31" t="n">
        <v>28</v>
      </c>
      <c r="H65" s="32" t="n">
        <v>21.7</v>
      </c>
      <c r="I65" s="33" t="s">
        <v>17</v>
      </c>
      <c r="J65" s="31" t="n">
        <v>3</v>
      </c>
      <c r="K65" s="34" t="n">
        <f aca="false">E65*F65</f>
        <v>62942.25</v>
      </c>
    </row>
    <row r="66" customFormat="false" ht="19.5" hidden="false" customHeight="true" outlineLevel="0" collapsed="false">
      <c r="A66" s="23" t="s">
        <v>174</v>
      </c>
      <c r="B66" s="17" t="s">
        <v>175</v>
      </c>
      <c r="C66" s="17" t="s">
        <v>28</v>
      </c>
      <c r="D66" s="17" t="s">
        <v>98</v>
      </c>
      <c r="E66" s="24" t="n">
        <v>11.4</v>
      </c>
      <c r="F66" s="25" t="n">
        <v>48</v>
      </c>
      <c r="G66" s="25" t="n">
        <v>76</v>
      </c>
      <c r="H66" s="26" t="n">
        <v>2.8</v>
      </c>
      <c r="I66" s="27" t="s">
        <v>18</v>
      </c>
      <c r="J66" s="25" t="n">
        <v>3</v>
      </c>
      <c r="K66" s="28" t="n">
        <f aca="false">E66*F66</f>
        <v>547.2</v>
      </c>
    </row>
    <row r="67" customFormat="false" ht="19.5" hidden="false" customHeight="true" outlineLevel="0" collapsed="false">
      <c r="A67" s="29" t="s">
        <v>176</v>
      </c>
      <c r="B67" s="12" t="s">
        <v>177</v>
      </c>
      <c r="C67" s="12" t="s">
        <v>28</v>
      </c>
      <c r="D67" s="12" t="s">
        <v>55</v>
      </c>
      <c r="E67" s="30" t="n">
        <v>220.03</v>
      </c>
      <c r="F67" s="31" t="n">
        <v>320</v>
      </c>
      <c r="G67" s="31" t="n">
        <v>66</v>
      </c>
      <c r="H67" s="32" t="n">
        <v>45.5</v>
      </c>
      <c r="I67" s="33" t="s">
        <v>17</v>
      </c>
      <c r="J67" s="31" t="n">
        <v>8</v>
      </c>
      <c r="K67" s="34" t="n">
        <f aca="false">E67*F67</f>
        <v>70409.6</v>
      </c>
    </row>
    <row r="68" customFormat="false" ht="19.5" hidden="false" customHeight="true" outlineLevel="0" collapsed="false">
      <c r="A68" s="23" t="s">
        <v>178</v>
      </c>
      <c r="B68" s="17" t="s">
        <v>179</v>
      </c>
      <c r="C68" s="17" t="s">
        <v>26</v>
      </c>
      <c r="D68" s="17" t="s">
        <v>39</v>
      </c>
      <c r="E68" s="24" t="n">
        <v>54.08</v>
      </c>
      <c r="F68" s="25" t="n">
        <v>303</v>
      </c>
      <c r="G68" s="25" t="n">
        <v>70</v>
      </c>
      <c r="H68" s="26" t="n">
        <v>16.8</v>
      </c>
      <c r="I68" s="27" t="s">
        <v>17</v>
      </c>
      <c r="J68" s="25" t="n">
        <v>18</v>
      </c>
      <c r="K68" s="28" t="n">
        <f aca="false">E68*F68</f>
        <v>16386.24</v>
      </c>
    </row>
    <row r="69" customFormat="false" ht="19.5" hidden="false" customHeight="true" outlineLevel="0" collapsed="false">
      <c r="A69" s="29" t="s">
        <v>180</v>
      </c>
      <c r="B69" s="12" t="s">
        <v>181</v>
      </c>
      <c r="C69" s="12" t="s">
        <v>26</v>
      </c>
      <c r="D69" s="12" t="s">
        <v>61</v>
      </c>
      <c r="E69" s="30" t="n">
        <v>30.29</v>
      </c>
      <c r="F69" s="31" t="n">
        <v>208</v>
      </c>
      <c r="G69" s="31" t="n">
        <v>77</v>
      </c>
      <c r="H69" s="32" t="n">
        <v>26.3</v>
      </c>
      <c r="I69" s="33" t="s">
        <v>17</v>
      </c>
      <c r="J69" s="31" t="n">
        <v>5</v>
      </c>
      <c r="K69" s="34" t="n">
        <f aca="false">E69*F69</f>
        <v>6300.32</v>
      </c>
    </row>
    <row r="70" customFormat="false" ht="19.5" hidden="false" customHeight="true" outlineLevel="0" collapsed="false">
      <c r="A70" s="23" t="s">
        <v>182</v>
      </c>
      <c r="B70" s="17" t="s">
        <v>183</v>
      </c>
      <c r="C70" s="17" t="s">
        <v>23</v>
      </c>
      <c r="D70" s="17" t="s">
        <v>58</v>
      </c>
      <c r="E70" s="24" t="n">
        <v>52.11</v>
      </c>
      <c r="F70" s="25" t="n">
        <v>183</v>
      </c>
      <c r="G70" s="25" t="n">
        <v>48</v>
      </c>
      <c r="H70" s="26" t="n">
        <v>12.6</v>
      </c>
      <c r="I70" s="27" t="s">
        <v>17</v>
      </c>
      <c r="J70" s="25" t="n">
        <v>6</v>
      </c>
      <c r="K70" s="28" t="n">
        <f aca="false">E70*F70</f>
        <v>9536.13</v>
      </c>
    </row>
    <row r="71" customFormat="false" ht="19.5" hidden="false" customHeight="true" outlineLevel="0" collapsed="false">
      <c r="A71" s="29" t="s">
        <v>184</v>
      </c>
      <c r="B71" s="12" t="s">
        <v>185</v>
      </c>
      <c r="C71" s="12" t="s">
        <v>25</v>
      </c>
      <c r="D71" s="12" t="s">
        <v>135</v>
      </c>
      <c r="E71" s="30" t="n">
        <v>231.1</v>
      </c>
      <c r="F71" s="31" t="n">
        <v>207</v>
      </c>
      <c r="G71" s="31" t="n">
        <v>23</v>
      </c>
      <c r="H71" s="32" t="n">
        <v>27.2</v>
      </c>
      <c r="I71" s="33" t="s">
        <v>17</v>
      </c>
      <c r="J71" s="31" t="n">
        <v>5</v>
      </c>
      <c r="K71" s="34" t="n">
        <f aca="false">E71*F71</f>
        <v>47837.7</v>
      </c>
    </row>
    <row r="72" customFormat="false" ht="19.5" hidden="false" customHeight="true" outlineLevel="0" collapsed="false">
      <c r="A72" s="23" t="s">
        <v>186</v>
      </c>
      <c r="B72" s="17" t="s">
        <v>187</v>
      </c>
      <c r="C72" s="17" t="s">
        <v>27</v>
      </c>
      <c r="D72" s="17" t="s">
        <v>74</v>
      </c>
      <c r="E72" s="24" t="n">
        <v>121.06</v>
      </c>
      <c r="F72" s="25" t="n">
        <v>389</v>
      </c>
      <c r="G72" s="25" t="n">
        <v>26</v>
      </c>
      <c r="H72" s="26" t="n">
        <v>103.6</v>
      </c>
      <c r="I72" s="27" t="s">
        <v>17</v>
      </c>
      <c r="J72" s="25" t="n">
        <v>5</v>
      </c>
      <c r="K72" s="28" t="n">
        <f aca="false">E72*F72</f>
        <v>47092.34</v>
      </c>
    </row>
    <row r="73" customFormat="false" ht="19.5" hidden="false" customHeight="true" outlineLevel="0" collapsed="false">
      <c r="A73" s="29" t="s">
        <v>188</v>
      </c>
      <c r="B73" s="12" t="s">
        <v>189</v>
      </c>
      <c r="C73" s="12" t="s">
        <v>28</v>
      </c>
      <c r="D73" s="12" t="s">
        <v>74</v>
      </c>
      <c r="E73" s="30" t="n">
        <v>52.66</v>
      </c>
      <c r="F73" s="31" t="n">
        <v>417</v>
      </c>
      <c r="G73" s="31" t="n">
        <v>66</v>
      </c>
      <c r="H73" s="32" t="n">
        <v>40.2</v>
      </c>
      <c r="I73" s="33" t="s">
        <v>17</v>
      </c>
      <c r="J73" s="31" t="n">
        <v>14</v>
      </c>
      <c r="K73" s="34" t="n">
        <f aca="false">E73*F73</f>
        <v>21959.22</v>
      </c>
    </row>
    <row r="74" customFormat="false" ht="19.5" hidden="false" customHeight="true" outlineLevel="0" collapsed="false">
      <c r="A74" s="23" t="s">
        <v>190</v>
      </c>
      <c r="B74" s="17" t="s">
        <v>191</v>
      </c>
      <c r="C74" s="17" t="s">
        <v>27</v>
      </c>
      <c r="D74" s="17" t="s">
        <v>58</v>
      </c>
      <c r="E74" s="24" t="n">
        <v>220.66</v>
      </c>
      <c r="F74" s="25" t="n">
        <v>185</v>
      </c>
      <c r="G74" s="25" t="n">
        <v>33</v>
      </c>
      <c r="H74" s="26" t="n">
        <v>21.1</v>
      </c>
      <c r="I74" s="27" t="s">
        <v>17</v>
      </c>
      <c r="J74" s="25" t="n">
        <v>10</v>
      </c>
      <c r="K74" s="28" t="n">
        <f aca="false">E74*F74</f>
        <v>40822.1</v>
      </c>
    </row>
    <row r="75" customFormat="false" ht="19.5" hidden="false" customHeight="true" outlineLevel="0" collapsed="false">
      <c r="A75" s="29" t="s">
        <v>192</v>
      </c>
      <c r="B75" s="12" t="s">
        <v>193</v>
      </c>
      <c r="C75" s="12" t="s">
        <v>23</v>
      </c>
      <c r="D75" s="12" t="s">
        <v>135</v>
      </c>
      <c r="E75" s="30" t="n">
        <v>88.86</v>
      </c>
      <c r="F75" s="31" t="n">
        <v>206</v>
      </c>
      <c r="G75" s="31" t="n">
        <v>69</v>
      </c>
      <c r="H75" s="32" t="n">
        <v>16</v>
      </c>
      <c r="I75" s="33" t="s">
        <v>17</v>
      </c>
      <c r="J75" s="31" t="n">
        <v>9</v>
      </c>
      <c r="K75" s="34" t="n">
        <f aca="false">E75*F75</f>
        <v>18305.16</v>
      </c>
    </row>
    <row r="76" customFormat="false" ht="19.5" hidden="false" customHeight="true" outlineLevel="0" collapsed="false">
      <c r="A76" s="23" t="s">
        <v>194</v>
      </c>
      <c r="B76" s="17" t="s">
        <v>195</v>
      </c>
      <c r="C76" s="17" t="s">
        <v>24</v>
      </c>
      <c r="D76" s="17" t="s">
        <v>50</v>
      </c>
      <c r="E76" s="24" t="n">
        <v>159.92</v>
      </c>
      <c r="F76" s="25" t="n">
        <v>64</v>
      </c>
      <c r="G76" s="25" t="n">
        <v>25</v>
      </c>
      <c r="H76" s="26" t="n">
        <v>6.2</v>
      </c>
      <c r="I76" s="27" t="s">
        <v>17</v>
      </c>
      <c r="J76" s="25" t="n">
        <v>20</v>
      </c>
      <c r="K76" s="28" t="n">
        <f aca="false">E76*F76</f>
        <v>10234.88</v>
      </c>
    </row>
    <row r="77" customFormat="false" ht="19.5" hidden="false" customHeight="true" outlineLevel="0" collapsed="false">
      <c r="A77" s="29" t="s">
        <v>196</v>
      </c>
      <c r="B77" s="12" t="s">
        <v>197</v>
      </c>
      <c r="C77" s="12" t="s">
        <v>24</v>
      </c>
      <c r="D77" s="12" t="s">
        <v>36</v>
      </c>
      <c r="E77" s="30" t="n">
        <v>103.1</v>
      </c>
      <c r="F77" s="31" t="n">
        <v>115</v>
      </c>
      <c r="G77" s="31" t="n">
        <v>75</v>
      </c>
      <c r="H77" s="32" t="n">
        <v>6.4</v>
      </c>
      <c r="I77" s="33" t="s">
        <v>17</v>
      </c>
      <c r="J77" s="31" t="n">
        <v>18</v>
      </c>
      <c r="K77" s="34" t="n">
        <f aca="false">E77*F77</f>
        <v>11856.5</v>
      </c>
    </row>
    <row r="78" customFormat="false" ht="19.5" hidden="false" customHeight="true" outlineLevel="0" collapsed="false">
      <c r="A78" s="23" t="s">
        <v>198</v>
      </c>
      <c r="B78" s="17" t="s">
        <v>199</v>
      </c>
      <c r="C78" s="17" t="s">
        <v>28</v>
      </c>
      <c r="D78" s="17" t="s">
        <v>55</v>
      </c>
      <c r="E78" s="24" t="n">
        <v>182.24</v>
      </c>
      <c r="F78" s="25" t="n">
        <v>470</v>
      </c>
      <c r="G78" s="25" t="n">
        <v>45</v>
      </c>
      <c r="H78" s="26" t="n">
        <v>19.7</v>
      </c>
      <c r="I78" s="27" t="s">
        <v>17</v>
      </c>
      <c r="J78" s="25" t="n">
        <v>7</v>
      </c>
      <c r="K78" s="28" t="n">
        <f aca="false">E78*F78</f>
        <v>85652.8</v>
      </c>
    </row>
    <row r="79" customFormat="false" ht="19.5" hidden="false" customHeight="true" outlineLevel="0" collapsed="false">
      <c r="A79" s="29" t="s">
        <v>200</v>
      </c>
      <c r="B79" s="12" t="s">
        <v>201</v>
      </c>
      <c r="C79" s="12" t="s">
        <v>28</v>
      </c>
      <c r="D79" s="12" t="s">
        <v>135</v>
      </c>
      <c r="E79" s="30" t="n">
        <v>213.77</v>
      </c>
      <c r="F79" s="31" t="n">
        <v>484</v>
      </c>
      <c r="G79" s="31" t="n">
        <v>36</v>
      </c>
      <c r="H79" s="32" t="n">
        <v>37.7</v>
      </c>
      <c r="I79" s="33" t="s">
        <v>17</v>
      </c>
      <c r="J79" s="31" t="n">
        <v>17</v>
      </c>
      <c r="K79" s="34" t="n">
        <f aca="false">E79*F79</f>
        <v>103464.68</v>
      </c>
    </row>
    <row r="80" customFormat="false" ht="19.5" hidden="false" customHeight="true" outlineLevel="0" collapsed="false">
      <c r="A80" s="23" t="s">
        <v>202</v>
      </c>
      <c r="B80" s="17" t="s">
        <v>203</v>
      </c>
      <c r="C80" s="17" t="s">
        <v>28</v>
      </c>
      <c r="D80" s="17" t="s">
        <v>58</v>
      </c>
      <c r="E80" s="24" t="n">
        <v>50.57</v>
      </c>
      <c r="F80" s="25" t="n">
        <v>131</v>
      </c>
      <c r="G80" s="25" t="n">
        <v>45</v>
      </c>
      <c r="H80" s="26" t="n">
        <v>6.2</v>
      </c>
      <c r="I80" s="27" t="s">
        <v>17</v>
      </c>
      <c r="J80" s="25" t="n">
        <v>6</v>
      </c>
      <c r="K80" s="28" t="n">
        <f aca="false">E80*F80</f>
        <v>6624.67</v>
      </c>
    </row>
    <row r="81" customFormat="false" ht="19.5" hidden="false" customHeight="true" outlineLevel="0" collapsed="false">
      <c r="A81" s="29" t="s">
        <v>204</v>
      </c>
      <c r="B81" s="12" t="s">
        <v>205</v>
      </c>
      <c r="C81" s="12" t="s">
        <v>27</v>
      </c>
      <c r="D81" s="12" t="s">
        <v>55</v>
      </c>
      <c r="E81" s="30" t="n">
        <v>189.45</v>
      </c>
      <c r="F81" s="31" t="n">
        <v>276</v>
      </c>
      <c r="G81" s="31" t="n">
        <v>20</v>
      </c>
      <c r="H81" s="32" t="n">
        <v>12.9</v>
      </c>
      <c r="I81" s="33" t="s">
        <v>17</v>
      </c>
      <c r="J81" s="31" t="n">
        <v>14</v>
      </c>
      <c r="K81" s="34" t="n">
        <f aca="false">E81*F81</f>
        <v>52288.2</v>
      </c>
    </row>
    <row r="82" customFormat="false" ht="19.5" hidden="false" customHeight="true" outlineLevel="0" collapsed="false">
      <c r="A82" s="23" t="s">
        <v>206</v>
      </c>
      <c r="B82" s="17" t="s">
        <v>207</v>
      </c>
      <c r="C82" s="17" t="s">
        <v>26</v>
      </c>
      <c r="D82" s="17" t="s">
        <v>44</v>
      </c>
      <c r="E82" s="24" t="n">
        <v>124.81</v>
      </c>
      <c r="F82" s="25" t="n">
        <v>36</v>
      </c>
      <c r="G82" s="25" t="n">
        <v>25</v>
      </c>
      <c r="H82" s="26" t="n">
        <v>2.3</v>
      </c>
      <c r="I82" s="27" t="s">
        <v>17</v>
      </c>
      <c r="J82" s="25" t="n">
        <v>17</v>
      </c>
      <c r="K82" s="28" t="n">
        <f aca="false">E82*F82</f>
        <v>4493.16</v>
      </c>
    </row>
    <row r="83" customFormat="false" ht="19.5" hidden="false" customHeight="true" outlineLevel="0" collapsed="false">
      <c r="A83" s="29" t="s">
        <v>208</v>
      </c>
      <c r="B83" s="12" t="s">
        <v>209</v>
      </c>
      <c r="C83" s="12" t="s">
        <v>26</v>
      </c>
      <c r="D83" s="12" t="s">
        <v>44</v>
      </c>
      <c r="E83" s="30" t="n">
        <v>81.24</v>
      </c>
      <c r="F83" s="31" t="n">
        <v>444</v>
      </c>
      <c r="G83" s="31" t="n">
        <v>33</v>
      </c>
      <c r="H83" s="32" t="n">
        <v>18.6</v>
      </c>
      <c r="I83" s="33" t="s">
        <v>17</v>
      </c>
      <c r="J83" s="31" t="n">
        <v>5</v>
      </c>
      <c r="K83" s="34" t="n">
        <f aca="false">E83*F83</f>
        <v>36070.56</v>
      </c>
    </row>
    <row r="84" customFormat="false" ht="19.5" hidden="false" customHeight="true" outlineLevel="0" collapsed="false">
      <c r="A84" s="23" t="s">
        <v>210</v>
      </c>
      <c r="B84" s="17" t="s">
        <v>211</v>
      </c>
      <c r="C84" s="17" t="s">
        <v>27</v>
      </c>
      <c r="D84" s="17" t="s">
        <v>55</v>
      </c>
      <c r="E84" s="24" t="n">
        <v>45.12</v>
      </c>
      <c r="F84" s="25" t="n">
        <v>353</v>
      </c>
      <c r="G84" s="25" t="n">
        <v>28</v>
      </c>
      <c r="H84" s="26" t="n">
        <v>20.2</v>
      </c>
      <c r="I84" s="27" t="s">
        <v>17</v>
      </c>
      <c r="J84" s="25" t="n">
        <v>6</v>
      </c>
      <c r="K84" s="28" t="n">
        <f aca="false">E84*F84</f>
        <v>15927.36</v>
      </c>
    </row>
    <row r="85" customFormat="false" ht="19.5" hidden="false" customHeight="true" outlineLevel="0" collapsed="false">
      <c r="A85" s="29" t="s">
        <v>212</v>
      </c>
      <c r="B85" s="12" t="s">
        <v>213</v>
      </c>
      <c r="C85" s="12" t="s">
        <v>25</v>
      </c>
      <c r="D85" s="12" t="s">
        <v>36</v>
      </c>
      <c r="E85" s="30" t="n">
        <v>18.98</v>
      </c>
      <c r="F85" s="31" t="n">
        <v>419</v>
      </c>
      <c r="G85" s="31" t="n">
        <v>68</v>
      </c>
      <c r="H85" s="32" t="n">
        <v>17.8</v>
      </c>
      <c r="I85" s="33" t="s">
        <v>17</v>
      </c>
      <c r="J85" s="31" t="n">
        <v>15</v>
      </c>
      <c r="K85" s="34" t="n">
        <f aca="false">E85*F85</f>
        <v>7952.62</v>
      </c>
    </row>
    <row r="86" customFormat="false" ht="19.5" hidden="false" customHeight="true" outlineLevel="0" collapsed="false">
      <c r="A86" s="23" t="s">
        <v>214</v>
      </c>
      <c r="B86" s="17" t="s">
        <v>215</v>
      </c>
      <c r="C86" s="17" t="s">
        <v>23</v>
      </c>
      <c r="D86" s="17" t="s">
        <v>135</v>
      </c>
      <c r="E86" s="24" t="n">
        <v>188.24</v>
      </c>
      <c r="F86" s="25" t="n">
        <v>225</v>
      </c>
      <c r="G86" s="25" t="n">
        <v>69</v>
      </c>
      <c r="H86" s="26" t="n">
        <v>11.6</v>
      </c>
      <c r="I86" s="27" t="s">
        <v>17</v>
      </c>
      <c r="J86" s="25" t="n">
        <v>14</v>
      </c>
      <c r="K86" s="28" t="n">
        <f aca="false">E86*F86</f>
        <v>42354</v>
      </c>
    </row>
    <row r="87" customFormat="false" ht="19.5" hidden="false" customHeight="true" outlineLevel="0" collapsed="false">
      <c r="A87" s="29" t="s">
        <v>216</v>
      </c>
      <c r="B87" s="12" t="s">
        <v>217</v>
      </c>
      <c r="C87" s="12" t="s">
        <v>25</v>
      </c>
      <c r="D87" s="12" t="s">
        <v>39</v>
      </c>
      <c r="E87" s="30" t="n">
        <v>69.76</v>
      </c>
      <c r="F87" s="31" t="n">
        <v>438</v>
      </c>
      <c r="G87" s="31" t="n">
        <v>21</v>
      </c>
      <c r="H87" s="32" t="n">
        <v>23</v>
      </c>
      <c r="I87" s="33" t="s">
        <v>17</v>
      </c>
      <c r="J87" s="31" t="n">
        <v>12</v>
      </c>
      <c r="K87" s="34" t="n">
        <f aca="false">E87*F87</f>
        <v>30554.88</v>
      </c>
    </row>
    <row r="88" customFormat="false" ht="19.5" hidden="false" customHeight="true" outlineLevel="0" collapsed="false">
      <c r="A88" s="23" t="s">
        <v>218</v>
      </c>
      <c r="B88" s="17" t="s">
        <v>219</v>
      </c>
      <c r="C88" s="17" t="s">
        <v>24</v>
      </c>
      <c r="D88" s="17" t="s">
        <v>58</v>
      </c>
      <c r="E88" s="24" t="n">
        <v>99.18</v>
      </c>
      <c r="F88" s="25" t="n">
        <v>428</v>
      </c>
      <c r="G88" s="25" t="n">
        <v>80</v>
      </c>
      <c r="H88" s="26" t="n">
        <v>18.5</v>
      </c>
      <c r="I88" s="27" t="s">
        <v>17</v>
      </c>
      <c r="J88" s="25" t="n">
        <v>12</v>
      </c>
      <c r="K88" s="28" t="n">
        <f aca="false">E88*F88</f>
        <v>42449.04</v>
      </c>
    </row>
    <row r="89" customFormat="false" ht="19.5" hidden="false" customHeight="true" outlineLevel="0" collapsed="false">
      <c r="A89" s="29" t="s">
        <v>220</v>
      </c>
      <c r="B89" s="12" t="s">
        <v>221</v>
      </c>
      <c r="C89" s="12" t="s">
        <v>24</v>
      </c>
      <c r="D89" s="12" t="s">
        <v>39</v>
      </c>
      <c r="E89" s="30" t="n">
        <v>117.55</v>
      </c>
      <c r="F89" s="31" t="n">
        <v>273</v>
      </c>
      <c r="G89" s="31" t="n">
        <v>51</v>
      </c>
      <c r="H89" s="32" t="n">
        <v>63.5</v>
      </c>
      <c r="I89" s="33" t="s">
        <v>17</v>
      </c>
      <c r="J89" s="31" t="n">
        <v>7</v>
      </c>
      <c r="K89" s="34" t="n">
        <f aca="false">E89*F89</f>
        <v>32091.15</v>
      </c>
    </row>
    <row r="90" customFormat="false" ht="19.5" hidden="false" customHeight="true" outlineLevel="0" collapsed="false">
      <c r="A90" s="23" t="s">
        <v>222</v>
      </c>
      <c r="B90" s="17" t="s">
        <v>223</v>
      </c>
      <c r="C90" s="17" t="s">
        <v>26</v>
      </c>
      <c r="D90" s="17" t="s">
        <v>50</v>
      </c>
      <c r="E90" s="24" t="n">
        <v>144.37</v>
      </c>
      <c r="F90" s="25" t="n">
        <v>220</v>
      </c>
      <c r="G90" s="25" t="n">
        <v>40</v>
      </c>
      <c r="H90" s="26" t="n">
        <v>88.9</v>
      </c>
      <c r="I90" s="27" t="s">
        <v>17</v>
      </c>
      <c r="J90" s="25" t="n">
        <v>14</v>
      </c>
      <c r="K90" s="28" t="n">
        <f aca="false">E90*F90</f>
        <v>31761.4</v>
      </c>
    </row>
    <row r="91" customFormat="false" ht="19.5" hidden="false" customHeight="true" outlineLevel="0" collapsed="false">
      <c r="A91" s="29" t="s">
        <v>224</v>
      </c>
      <c r="B91" s="12" t="s">
        <v>225</v>
      </c>
      <c r="C91" s="12" t="s">
        <v>25</v>
      </c>
      <c r="D91" s="12" t="s">
        <v>39</v>
      </c>
      <c r="E91" s="30" t="n">
        <v>222.18</v>
      </c>
      <c r="F91" s="31" t="n">
        <v>202</v>
      </c>
      <c r="G91" s="31" t="n">
        <v>34</v>
      </c>
      <c r="H91" s="32" t="n">
        <v>24.2</v>
      </c>
      <c r="I91" s="33" t="s">
        <v>17</v>
      </c>
      <c r="J91" s="31" t="n">
        <v>3</v>
      </c>
      <c r="K91" s="34" t="n">
        <f aca="false">E91*F91</f>
        <v>44880.36</v>
      </c>
    </row>
    <row r="92" customFormat="false" ht="19.5" hidden="false" customHeight="true" outlineLevel="0" collapsed="false">
      <c r="A92" s="23" t="s">
        <v>226</v>
      </c>
      <c r="B92" s="17" t="s">
        <v>227</v>
      </c>
      <c r="C92" s="17" t="s">
        <v>27</v>
      </c>
      <c r="D92" s="17" t="s">
        <v>36</v>
      </c>
      <c r="E92" s="24" t="n">
        <v>18.64</v>
      </c>
      <c r="F92" s="25" t="n">
        <v>76</v>
      </c>
      <c r="G92" s="25" t="n">
        <v>49</v>
      </c>
      <c r="H92" s="26" t="n">
        <v>3.2</v>
      </c>
      <c r="I92" s="27" t="s">
        <v>17</v>
      </c>
      <c r="J92" s="25" t="n">
        <v>15</v>
      </c>
      <c r="K92" s="28" t="n">
        <f aca="false">E92*F92</f>
        <v>1416.64</v>
      </c>
    </row>
    <row r="93" customFormat="false" ht="19.5" hidden="false" customHeight="true" outlineLevel="0" collapsed="false">
      <c r="A93" s="29" t="s">
        <v>228</v>
      </c>
      <c r="B93" s="12" t="s">
        <v>229</v>
      </c>
      <c r="C93" s="12" t="s">
        <v>25</v>
      </c>
      <c r="D93" s="12" t="s">
        <v>39</v>
      </c>
      <c r="E93" s="30" t="n">
        <v>25.47</v>
      </c>
      <c r="F93" s="31" t="n">
        <v>109</v>
      </c>
      <c r="G93" s="31" t="n">
        <v>77</v>
      </c>
      <c r="H93" s="32" t="n">
        <v>5.9</v>
      </c>
      <c r="I93" s="33" t="s">
        <v>17</v>
      </c>
      <c r="J93" s="31" t="n">
        <v>14</v>
      </c>
      <c r="K93" s="34" t="n">
        <f aca="false">E93*F93</f>
        <v>2776.23</v>
      </c>
    </row>
    <row r="94" customFormat="false" ht="19.5" hidden="false" customHeight="true" outlineLevel="0" collapsed="false">
      <c r="A94" s="23" t="s">
        <v>230</v>
      </c>
      <c r="B94" s="17" t="s">
        <v>231</v>
      </c>
      <c r="C94" s="17" t="s">
        <v>25</v>
      </c>
      <c r="D94" s="17" t="s">
        <v>98</v>
      </c>
      <c r="E94" s="24" t="n">
        <v>41.75</v>
      </c>
      <c r="F94" s="25" t="n">
        <v>484</v>
      </c>
      <c r="G94" s="25" t="n">
        <v>52</v>
      </c>
      <c r="H94" s="26" t="n">
        <v>29.1</v>
      </c>
      <c r="I94" s="27" t="s">
        <v>17</v>
      </c>
      <c r="J94" s="25" t="n">
        <v>19</v>
      </c>
      <c r="K94" s="28" t="n">
        <f aca="false">E94*F94</f>
        <v>20207</v>
      </c>
    </row>
    <row r="95" customFormat="false" ht="19.5" hidden="false" customHeight="true" outlineLevel="0" collapsed="false">
      <c r="A95" s="29" t="s">
        <v>232</v>
      </c>
      <c r="B95" s="12" t="s">
        <v>233</v>
      </c>
      <c r="C95" s="12" t="s">
        <v>23</v>
      </c>
      <c r="D95" s="12" t="s">
        <v>58</v>
      </c>
      <c r="E95" s="30" t="n">
        <v>174.57</v>
      </c>
      <c r="F95" s="31" t="n">
        <v>440</v>
      </c>
      <c r="G95" s="31" t="n">
        <v>64</v>
      </c>
      <c r="H95" s="32" t="n">
        <v>35.6</v>
      </c>
      <c r="I95" s="33" t="s">
        <v>17</v>
      </c>
      <c r="J95" s="31" t="n">
        <v>19</v>
      </c>
      <c r="K95" s="34" t="n">
        <f aca="false">E95*F95</f>
        <v>76810.8</v>
      </c>
    </row>
    <row r="96" customFormat="false" ht="19.5" hidden="false" customHeight="true" outlineLevel="0" collapsed="false">
      <c r="A96" s="23" t="s">
        <v>234</v>
      </c>
      <c r="B96" s="17" t="s">
        <v>235</v>
      </c>
      <c r="C96" s="17" t="s">
        <v>24</v>
      </c>
      <c r="D96" s="17" t="s">
        <v>50</v>
      </c>
      <c r="E96" s="24" t="n">
        <v>132.4</v>
      </c>
      <c r="F96" s="25" t="n">
        <v>148</v>
      </c>
      <c r="G96" s="25" t="n">
        <v>62</v>
      </c>
      <c r="H96" s="26" t="n">
        <v>6.6</v>
      </c>
      <c r="I96" s="27" t="s">
        <v>17</v>
      </c>
      <c r="J96" s="25" t="n">
        <v>9</v>
      </c>
      <c r="K96" s="28" t="n">
        <f aca="false">E96*F96</f>
        <v>19595.2</v>
      </c>
    </row>
    <row r="97" customFormat="false" ht="19.5" hidden="false" customHeight="true" outlineLevel="0" collapsed="false">
      <c r="A97" s="29" t="s">
        <v>236</v>
      </c>
      <c r="B97" s="12" t="s">
        <v>237</v>
      </c>
      <c r="C97" s="12" t="s">
        <v>23</v>
      </c>
      <c r="D97" s="12" t="s">
        <v>36</v>
      </c>
      <c r="E97" s="30" t="n">
        <v>246.69</v>
      </c>
      <c r="F97" s="31" t="n">
        <v>145</v>
      </c>
      <c r="G97" s="31" t="n">
        <v>42</v>
      </c>
      <c r="H97" s="32" t="n">
        <v>24</v>
      </c>
      <c r="I97" s="33" t="s">
        <v>17</v>
      </c>
      <c r="J97" s="31" t="n">
        <v>20</v>
      </c>
      <c r="K97" s="34" t="n">
        <f aca="false">E97*F97</f>
        <v>35770.05</v>
      </c>
    </row>
    <row r="98" customFormat="false" ht="19.5" hidden="false" customHeight="true" outlineLevel="0" collapsed="false">
      <c r="A98" s="23" t="s">
        <v>238</v>
      </c>
      <c r="B98" s="17" t="s">
        <v>239</v>
      </c>
      <c r="C98" s="17" t="s">
        <v>26</v>
      </c>
      <c r="D98" s="17" t="s">
        <v>61</v>
      </c>
      <c r="E98" s="24" t="n">
        <v>167.79</v>
      </c>
      <c r="F98" s="25" t="n">
        <v>128</v>
      </c>
      <c r="G98" s="25" t="n">
        <v>62</v>
      </c>
      <c r="H98" s="26" t="n">
        <v>5.8</v>
      </c>
      <c r="I98" s="27" t="s">
        <v>17</v>
      </c>
      <c r="J98" s="25" t="n">
        <v>8</v>
      </c>
      <c r="K98" s="28" t="n">
        <f aca="false">E98*F98</f>
        <v>21477.12</v>
      </c>
    </row>
    <row r="99" customFormat="false" ht="19.5" hidden="false" customHeight="true" outlineLevel="0" collapsed="false">
      <c r="A99" s="29" t="s">
        <v>240</v>
      </c>
      <c r="B99" s="12" t="s">
        <v>241</v>
      </c>
      <c r="C99" s="12" t="s">
        <v>26</v>
      </c>
      <c r="D99" s="12" t="s">
        <v>39</v>
      </c>
      <c r="E99" s="30" t="n">
        <v>101.35</v>
      </c>
      <c r="F99" s="31" t="n">
        <v>351</v>
      </c>
      <c r="G99" s="31" t="n">
        <v>78</v>
      </c>
      <c r="H99" s="32" t="n">
        <v>31.2</v>
      </c>
      <c r="I99" s="33" t="s">
        <v>17</v>
      </c>
      <c r="J99" s="31" t="n">
        <v>18</v>
      </c>
      <c r="K99" s="34" t="n">
        <f aca="false">E99*F99</f>
        <v>35573.85</v>
      </c>
    </row>
    <row r="100" customFormat="false" ht="19.5" hidden="false" customHeight="true" outlineLevel="0" collapsed="false">
      <c r="A100" s="23" t="s">
        <v>242</v>
      </c>
      <c r="B100" s="17" t="s">
        <v>243</v>
      </c>
      <c r="C100" s="17" t="s">
        <v>25</v>
      </c>
      <c r="D100" s="17" t="s">
        <v>36</v>
      </c>
      <c r="E100" s="24" t="n">
        <v>179.24</v>
      </c>
      <c r="F100" s="25" t="n">
        <v>118</v>
      </c>
      <c r="G100" s="25" t="n">
        <v>64</v>
      </c>
      <c r="H100" s="26" t="n">
        <v>43.1</v>
      </c>
      <c r="I100" s="27" t="s">
        <v>17</v>
      </c>
      <c r="J100" s="25" t="n">
        <v>11</v>
      </c>
      <c r="K100" s="28" t="n">
        <f aca="false">E100*F100</f>
        <v>21150.32</v>
      </c>
    </row>
    <row r="101" customFormat="false" ht="19.5" hidden="false" customHeight="true" outlineLevel="0" collapsed="false">
      <c r="A101" s="29" t="s">
        <v>244</v>
      </c>
      <c r="B101" s="12" t="s">
        <v>245</v>
      </c>
      <c r="C101" s="12" t="s">
        <v>25</v>
      </c>
      <c r="D101" s="12" t="s">
        <v>47</v>
      </c>
      <c r="E101" s="30" t="n">
        <v>217.82</v>
      </c>
      <c r="F101" s="31" t="n">
        <v>213</v>
      </c>
      <c r="G101" s="31" t="n">
        <v>67</v>
      </c>
      <c r="H101" s="32" t="n">
        <v>72.3</v>
      </c>
      <c r="I101" s="33" t="s">
        <v>17</v>
      </c>
      <c r="J101" s="31" t="n">
        <v>11</v>
      </c>
      <c r="K101" s="34" t="n">
        <f aca="false">E101*F101</f>
        <v>46395.66</v>
      </c>
    </row>
  </sheetData>
  <autoFilter ref="A1:K101"/>
  <conditionalFormatting sqref="I2:I101">
    <cfRule type="cellIs" priority="2" operator="equal" aboveAverage="0" equalAverage="0" bottom="0" percent="0" rank="0" text="" dxfId="66">
      <formula>"Out"</formula>
    </cfRule>
    <cfRule type="cellIs" priority="3" operator="equal" aboveAverage="0" equalAverage="0" bottom="0" percent="0" rank="0" text="" dxfId="67">
      <formula>"Low"</formula>
    </cfRule>
    <cfRule type="cellIs" priority="4" operator="equal" aboveAverage="0" equalAverage="0" bottom="0" percent="0" rank="0" text="" dxfId="68">
      <formula>"OK"</formula>
    </cfRule>
    <cfRule type="cellIs" priority="5" operator="equal" aboveAverage="0" equalAverage="0" bottom="0" percent="0" rank="0" text="" dxfId="69">
      <formula>"OK"</formula>
    </cfRule>
    <cfRule type="cellIs" priority="6" operator="equal" aboveAverage="0" equalAverage="0" bottom="0" percent="0" rank="0" text="" dxfId="70">
      <formula>"Low"</formula>
    </cfRule>
    <cfRule type="cellIs" priority="7" operator="equal" aboveAverage="0" equalAverage="0" bottom="0" percent="0" rank="0" text="" dxfId="71">
      <formula>"Out"</formula>
    </cfRule>
  </conditionalFormatting>
  <conditionalFormatting sqref="F2:F101">
    <cfRule type="dataBar" priority="8">
      <dataBar showValue="1" minLength="10" maxLength="90">
        <cfvo type="min" val="0"/>
        <cfvo type="max" val="0"/>
        <color rgb="FFD97706"/>
      </dataBar>
      <extLst>
        <ext xmlns:x14="http://schemas.microsoft.com/office/spreadsheetml/2009/9/main" uri="{B025F937-C7B1-47D3-B67F-A62EFF666E3E}">
          <x14:id>{443FC152-979F-435F-A6E4-311B6084C6A7}</x14:id>
        </ext>
      </extLst>
    </cfRule>
  </conditionalFormatting>
  <conditionalFormatting sqref="K2:K101">
    <cfRule type="dataBar" priority="9">
      <dataBar showValue="1" minLength="10" maxLength="90">
        <cfvo type="min" val="0"/>
        <cfvo type="max" val="0"/>
        <color rgb="FF166534"/>
      </dataBar>
      <extLst>
        <ext xmlns:x14="http://schemas.microsoft.com/office/spreadsheetml/2009/9/main" uri="{B025F937-C7B1-47D3-B67F-A62EFF666E3E}">
          <x14:id>{4ECFF6BB-749F-4D32-A12A-B1277AFED480}</x14:id>
        </ext>
      </extLst>
    </cfRule>
  </conditionalFormatting>
  <conditionalFormatting sqref="H2:H101">
    <cfRule type="colorScale" priority="10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FC152-979F-435F-A6E4-311B6084C6A7}">
            <x14:dataBar minLength="10" maxLength="90" axisPosition="none" gradient="true">
              <x14:cfvo type="min"/>
              <x14:cfvo type="max"/>
              <x14:negativeFillColor rgb="FFD97706"/>
              <x14:axisColor rgb="FF000000"/>
            </x14:dataBar>
          </x14:cfRule>
          <xm:sqref>F2:F101</xm:sqref>
        </x14:conditionalFormatting>
        <x14:conditionalFormatting xmlns:xm="http://schemas.microsoft.com/office/excel/2006/main">
          <x14:cfRule type="dataBar" id="{4ECFF6BB-749F-4D32-A12A-B1277AFED480}">
            <x14:dataBar minLength="10" maxLength="90" axisPosition="none" gradient="true">
              <x14:cfvo type="min"/>
              <x14:cfvo type="max"/>
              <x14:negativeFillColor rgb="FF166534"/>
              <x14:axisColor rgb="FF000000"/>
            </x14:dataBar>
          </x14:cfRule>
          <xm:sqref>K2:K101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2026-05-10T11:00:22Z</dcterms:created>
  <dc:creator>openpyxl</dc:creator>
  <dc:description/>
  <dc:language>en-US</dc:language>
  <cp:lastModifiedBy/>
  <dcterms:modified xsi:type="dcterms:W3CDTF">2026-05-17T17:12:24Z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