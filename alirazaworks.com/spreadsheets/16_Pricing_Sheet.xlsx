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Pric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<sst xmlns="http://schemas.openxmlformats.org/spreadsheetml/2006/main" count="78" uniqueCount="52">
  <si>
    <t xml:space="preserve">SERVICE PRICING SHEET — 2026</t>
  </si>
  <si>
    <t xml:space="preserve">  All prices in USD · Volume discounts auto-calculated · Tiered service catalog</t>
  </si>
  <si>
    <t xml:space="preserve">SERVICE CATALOG</t>
  </si>
  <si>
    <t xml:space="preserve">Service</t>
  </si>
  <si>
    <t xml:space="preserve">Tier</t>
  </si>
  <si>
    <t xml:space="preserve">Price (USD)</t>
  </si>
  <si>
    <t xml:space="preserve">Delivery (days)</t>
  </si>
  <si>
    <t xml:space="preserve">Revisions</t>
  </si>
  <si>
    <t xml:space="preserve">Scope</t>
  </si>
  <si>
    <t xml:space="preserve">Data Analysis - Excel</t>
  </si>
  <si>
    <t xml:space="preserve">Basic</t>
  </si>
  <si>
    <t xml:space="preserve">Single dataset, summary stats, 1 chart</t>
  </si>
  <si>
    <t xml:space="preserve">Standard</t>
  </si>
  <si>
    <t xml:space="preserve">Multi-sheet workbook with pivot tables and 3-5 charts</t>
  </si>
  <si>
    <t xml:space="preserve">Premium</t>
  </si>
  <si>
    <t xml:space="preserve">Full dashboard with VBA automation and refreshable model</t>
  </si>
  <si>
    <t xml:space="preserve">Power BI Dashboard</t>
  </si>
  <si>
    <t xml:space="preserve">Single-page report, 4 visuals</t>
  </si>
  <si>
    <t xml:space="preserve">3-page dashboard with DAX measures and slicers</t>
  </si>
  <si>
    <t xml:space="preserve">Enterprise model with RLS, gateway setup, training session</t>
  </si>
  <si>
    <t xml:space="preserve">Research Article</t>
  </si>
  <si>
    <t xml:space="preserve">Up to 1000 words with 5 references</t>
  </si>
  <si>
    <t xml:space="preserve">Up to 2500 words with 10-15 references</t>
  </si>
  <si>
    <t xml:space="preserve">Up to 5000 words, full literature review, APA</t>
  </si>
  <si>
    <t xml:space="preserve">Thesis Chapter</t>
  </si>
  <si>
    <t xml:space="preserve">Single chapter, formatting only</t>
  </si>
  <si>
    <t xml:space="preserve">Single chapter with statistical analysis</t>
  </si>
  <si>
    <t xml:space="preserve">Full methodology + analysis + write-up</t>
  </si>
  <si>
    <t xml:space="preserve">Web Scraping</t>
  </si>
  <si>
    <t xml:space="preserve">Single static site, CSV output</t>
  </si>
  <si>
    <t xml:space="preserve">Multi-page site with pagination, scheduled run</t>
  </si>
  <si>
    <t xml:space="preserve">Multi-site, anti-bot handling, dashboard delivery</t>
  </si>
  <si>
    <t xml:space="preserve">n8n Automation</t>
  </si>
  <si>
    <t xml:space="preserve">Single workflow, up to 5 nodes</t>
  </si>
  <si>
    <t xml:space="preserve">Complex workflow with branching, 10+ nodes</t>
  </si>
  <si>
    <t xml:space="preserve">Citation/Referencing</t>
  </si>
  <si>
    <t xml:space="preserve">Up to 20 references in any style</t>
  </si>
  <si>
    <t xml:space="preserve">VOLUME DISCOUNT CALCULATOR</t>
  </si>
  <si>
    <t xml:space="preserve">Enter base subtotal</t>
  </si>
  <si>
    <t xml:space="preserve">Subtotal Range</t>
  </si>
  <si>
    <t xml:space="preserve">Discount</t>
  </si>
  <si>
    <t xml:space="preserve">Notes</t>
  </si>
  <si>
    <t xml:space="preserve">Discount %</t>
  </si>
  <si>
    <t xml:space="preserve">$500 – $999</t>
  </si>
  <si>
    <t xml:space="preserve">Small bundle</t>
  </si>
  <si>
    <t xml:space="preserve">Discount amount</t>
  </si>
  <si>
    <t xml:space="preserve">$1,000 – $1,999</t>
  </si>
  <si>
    <t xml:space="preserve">Mid bundle</t>
  </si>
  <si>
    <t xml:space="preserve">FINAL TOTAL</t>
  </si>
  <si>
    <t xml:space="preserve">$2,000+</t>
  </si>
  <si>
    <t xml:space="preserve">Large engagement</t>
  </si>
  <si>
    <t xml:space="preserve">↑ Edit yellow cell to recalculate the 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</si>
</sst>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;\(#,##0\);\-"/>
    <numFmt numFmtId="167" formatCode="\$#,##0"/>
    <numFmt numFmtId="168" formatCode="0.0%"/>
    <numFmt numFmtId="169" formatCode="0.0%;\(0.0%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2"/>
      <color rgb="FF115E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0"/>
      <color rgb="FF075985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0"/>
      <color rgb="FF6B21A8"/>
      <name val="Calibri"/>
      <family val="0"/>
      <charset val="1"/>
    </font>
    <font>
      <sz val="11"/>
      <color rgb="FF374151"/>
      <name val="Calibri"/>
      <family val="0"/>
      <charset val="1"/>
    </font>
    <font>
      <b val="true"/>
      <sz val="12"/>
      <color rgb="FF92400E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9"/>
      <color rgb="FF6B728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766E"/>
        <bgColor rgb="FF115E59"/>
      </patternFill>
    </fill>
    <fill>
      <patternFill patternType="solid">
        <fgColor rgb="FF14B8A6"/>
        <bgColor rgb="FF00CCFF"/>
      </patternFill>
    </fill>
    <fill>
      <patternFill patternType="solid">
        <fgColor rgb="FFF0FDFA"/>
        <bgColor rgb="FFF8FAFA"/>
      </patternFill>
    </fill>
    <fill>
      <patternFill patternType="solid">
        <fgColor rgb="FFE0F2FE"/>
        <bgColor rgb="FFE5E7EB"/>
      </patternFill>
    </fill>
    <fill>
      <patternFill patternType="solid">
        <fgColor rgb="FFF8FAFA"/>
        <bgColor rgb="FFF0FDFA"/>
      </patternFill>
    </fill>
    <fill>
      <patternFill patternType="solid">
        <fgColor rgb="FFFEF3C7"/>
        <bgColor rgb="FFFEF9C3"/>
      </patternFill>
    </fill>
    <fill>
      <patternFill patternType="solid">
        <fgColor rgb="FFF3E8FF"/>
        <bgColor rgb="FFE5E7EB"/>
      </patternFill>
    </fill>
    <fill>
      <patternFill patternType="solid">
        <fgColor rgb="FFFEF9C3"/>
        <bgColor rgb="FFFEF3C7"/>
      </patternFill>
    </fill>
    <fill>
      <patternFill patternType="solid">
        <fgColor rgb="FFFFFFFF"/>
        <bgColor rgb="FFF8FAF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ck">
        <color rgb="FF14B8A6"/>
      </left>
      <right/>
      <top/>
      <bottom style="thin">
        <color rgb="FF14B8A6"/>
      </bottom>
      <diagonal/>
    </border>
    <border diagonalUp="false" diagonalDown="false"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5" fillId="9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7" fillId="1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7" fillId="2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8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B21A8"/>
      <rgbColor rgb="FF0F766E"/>
      <rgbColor rgb="FFF8FAFA"/>
      <rgbColor rgb="FF808080"/>
      <rgbColor rgb="FF9999FF"/>
      <rgbColor rgb="FF993366"/>
      <rgbColor rgb="FFFEF9C3"/>
      <rgbColor rgb="FFE0F2FE"/>
      <rgbColor rgb="FF660066"/>
      <rgbColor rgb="FFFF8080"/>
      <rgbColor rgb="FF075985"/>
      <rgbColor rgb="FFD1D5DB"/>
      <rgbColor rgb="FF000080"/>
      <rgbColor rgb="FFFF00FF"/>
      <rgbColor rgb="FFFFFF00"/>
      <rgbColor rgb="FF00FFFF"/>
      <rgbColor rgb="FF800080"/>
      <rgbColor rgb="FF800000"/>
      <rgbColor rgb="FF115E59"/>
      <rgbColor rgb="FF0000FF"/>
      <rgbColor rgb="FF00CCFF"/>
      <rgbColor rgb="FFF0FDFA"/>
      <rgbColor rgb="FFE5E7EB"/>
      <rgbColor rgb="FFFEF3C7"/>
      <rgbColor rgb="FF99CCFF"/>
      <rgbColor rgb="FFFF99CC"/>
      <rgbColor rgb="FFCC99FF"/>
      <rgbColor rgb="FFF3E8FF"/>
      <rgbColor rgb="FF3366FF"/>
      <rgbColor rgb="FF14B8A6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2"/>
      <c r="H2" s="2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4" hidden="false" customHeight="true" outlineLevel="0" collapsed="false">
      <c r="A4" s="4" t="s">
        <v>2</v>
      </c>
      <c r="B4" s="4"/>
      <c r="C4" s="4"/>
      <c r="D4" s="4"/>
      <c r="E4" s="4"/>
      <c r="F4" s="4"/>
      <c r="G4" s="2"/>
      <c r="H4" s="2"/>
    </row>
    <row r="5" customFormat="false" ht="6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27.7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2"/>
      <c r="H6" s="2"/>
    </row>
    <row r="7" customFormat="false" ht="21.75" hidden="false" customHeight="true" outlineLevel="0" collapsed="false">
      <c r="A7" s="6" t="s">
        <v>9</v>
      </c>
      <c r="B7" s="7" t="s">
        <v>10</v>
      </c>
      <c r="C7" s="8" t="n">
        <v>25</v>
      </c>
      <c r="D7" s="9" t="n">
        <v>3</v>
      </c>
      <c r="E7" s="9" t="n">
        <v>2</v>
      </c>
      <c r="F7" s="10" t="s">
        <v>11</v>
      </c>
      <c r="G7" s="2"/>
      <c r="H7" s="2"/>
    </row>
    <row r="8" customFormat="false" ht="21.75" hidden="false" customHeight="true" outlineLevel="0" collapsed="false">
      <c r="A8" s="11" t="s">
        <v>9</v>
      </c>
      <c r="B8" s="12" t="s">
        <v>12</v>
      </c>
      <c r="C8" s="13" t="n">
        <v>60</v>
      </c>
      <c r="D8" s="14" t="n">
        <v>4</v>
      </c>
      <c r="E8" s="14" t="n">
        <v>3</v>
      </c>
      <c r="F8" s="15" t="s">
        <v>13</v>
      </c>
      <c r="G8" s="2"/>
      <c r="H8" s="2"/>
    </row>
    <row r="9" customFormat="false" ht="21.75" hidden="false" customHeight="true" outlineLevel="0" collapsed="false">
      <c r="A9" s="6" t="s">
        <v>9</v>
      </c>
      <c r="B9" s="16" t="s">
        <v>14</v>
      </c>
      <c r="C9" s="8" t="n">
        <v>150</v>
      </c>
      <c r="D9" s="9" t="n">
        <v>7</v>
      </c>
      <c r="E9" s="9" t="n">
        <v>5</v>
      </c>
      <c r="F9" s="10" t="s">
        <v>15</v>
      </c>
      <c r="G9" s="2"/>
      <c r="H9" s="2"/>
    </row>
    <row r="10" customFormat="false" ht="21.75" hidden="false" customHeight="true" outlineLevel="0" collapsed="false">
      <c r="A10" s="11" t="s">
        <v>16</v>
      </c>
      <c r="B10" s="7" t="s">
        <v>10</v>
      </c>
      <c r="C10" s="13" t="n">
        <v>80</v>
      </c>
      <c r="D10" s="14" t="n">
        <v>5</v>
      </c>
      <c r="E10" s="14" t="n">
        <v>2</v>
      </c>
      <c r="F10" s="15" t="s">
        <v>17</v>
      </c>
      <c r="G10" s="2"/>
      <c r="H10" s="2"/>
    </row>
    <row r="11" customFormat="false" ht="21.75" hidden="false" customHeight="true" outlineLevel="0" collapsed="false">
      <c r="A11" s="6" t="s">
        <v>16</v>
      </c>
      <c r="B11" s="12" t="s">
        <v>12</v>
      </c>
      <c r="C11" s="8" t="n">
        <v>180</v>
      </c>
      <c r="D11" s="9" t="n">
        <v>7</v>
      </c>
      <c r="E11" s="9" t="n">
        <v>3</v>
      </c>
      <c r="F11" s="10" t="s">
        <v>18</v>
      </c>
      <c r="G11" s="2"/>
      <c r="H11" s="2"/>
    </row>
    <row r="12" customFormat="false" ht="21.75" hidden="false" customHeight="true" outlineLevel="0" collapsed="false">
      <c r="A12" s="11" t="s">
        <v>16</v>
      </c>
      <c r="B12" s="16" t="s">
        <v>14</v>
      </c>
      <c r="C12" s="13" t="n">
        <v>450</v>
      </c>
      <c r="D12" s="14" t="n">
        <v>12</v>
      </c>
      <c r="E12" s="14" t="n">
        <v>5</v>
      </c>
      <c r="F12" s="15" t="s">
        <v>19</v>
      </c>
      <c r="G12" s="2"/>
      <c r="H12" s="2"/>
    </row>
    <row r="13" customFormat="false" ht="21.75" hidden="false" customHeight="true" outlineLevel="0" collapsed="false">
      <c r="A13" s="6" t="s">
        <v>20</v>
      </c>
      <c r="B13" s="7" t="s">
        <v>10</v>
      </c>
      <c r="C13" s="8" t="n">
        <v>40</v>
      </c>
      <c r="D13" s="9" t="n">
        <v>3</v>
      </c>
      <c r="E13" s="9" t="n">
        <v>2</v>
      </c>
      <c r="F13" s="10" t="s">
        <v>21</v>
      </c>
      <c r="G13" s="2"/>
      <c r="H13" s="2"/>
    </row>
    <row r="14" customFormat="false" ht="21.75" hidden="false" customHeight="true" outlineLevel="0" collapsed="false">
      <c r="A14" s="11" t="s">
        <v>20</v>
      </c>
      <c r="B14" s="12" t="s">
        <v>12</v>
      </c>
      <c r="C14" s="13" t="n">
        <v>90</v>
      </c>
      <c r="D14" s="14" t="n">
        <v>5</v>
      </c>
      <c r="E14" s="14" t="n">
        <v>3</v>
      </c>
      <c r="F14" s="15" t="s">
        <v>22</v>
      </c>
      <c r="G14" s="2"/>
      <c r="H14" s="2"/>
    </row>
    <row r="15" customFormat="false" ht="21.75" hidden="false" customHeight="true" outlineLevel="0" collapsed="false">
      <c r="A15" s="6" t="s">
        <v>20</v>
      </c>
      <c r="B15" s="16" t="s">
        <v>14</v>
      </c>
      <c r="C15" s="8" t="n">
        <v>220</v>
      </c>
      <c r="D15" s="9" t="n">
        <v>10</v>
      </c>
      <c r="E15" s="9" t="n">
        <v>5</v>
      </c>
      <c r="F15" s="10" t="s">
        <v>23</v>
      </c>
      <c r="G15" s="2"/>
      <c r="H15" s="2"/>
    </row>
    <row r="16" customFormat="false" ht="21.75" hidden="false" customHeight="true" outlineLevel="0" collapsed="false">
      <c r="A16" s="11" t="s">
        <v>24</v>
      </c>
      <c r="B16" s="7" t="s">
        <v>10</v>
      </c>
      <c r="C16" s="13" t="n">
        <v>120</v>
      </c>
      <c r="D16" s="14" t="n">
        <v>7</v>
      </c>
      <c r="E16" s="14" t="n">
        <v>3</v>
      </c>
      <c r="F16" s="15" t="s">
        <v>25</v>
      </c>
      <c r="G16" s="2"/>
      <c r="H16" s="2"/>
    </row>
    <row r="17" customFormat="false" ht="21.75" hidden="false" customHeight="true" outlineLevel="0" collapsed="false">
      <c r="A17" s="6" t="s">
        <v>24</v>
      </c>
      <c r="B17" s="12" t="s">
        <v>12</v>
      </c>
      <c r="C17" s="8" t="n">
        <v>280</v>
      </c>
      <c r="D17" s="9" t="n">
        <v>14</v>
      </c>
      <c r="E17" s="9" t="n">
        <v>5</v>
      </c>
      <c r="F17" s="10" t="s">
        <v>26</v>
      </c>
      <c r="G17" s="2"/>
      <c r="H17" s="2"/>
    </row>
    <row r="18" customFormat="false" ht="21.75" hidden="false" customHeight="true" outlineLevel="0" collapsed="false">
      <c r="A18" s="11" t="s">
        <v>24</v>
      </c>
      <c r="B18" s="16" t="s">
        <v>14</v>
      </c>
      <c r="C18" s="13" t="n">
        <v>600</v>
      </c>
      <c r="D18" s="14" t="n">
        <v>21</v>
      </c>
      <c r="E18" s="14" t="n">
        <v>8</v>
      </c>
      <c r="F18" s="15" t="s">
        <v>27</v>
      </c>
      <c r="G18" s="2"/>
      <c r="H18" s="2"/>
    </row>
    <row r="19" customFormat="false" ht="21.75" hidden="false" customHeight="true" outlineLevel="0" collapsed="false">
      <c r="A19" s="6" t="s">
        <v>28</v>
      </c>
      <c r="B19" s="7" t="s">
        <v>10</v>
      </c>
      <c r="C19" s="8" t="n">
        <v>60</v>
      </c>
      <c r="D19" s="9" t="n">
        <v>4</v>
      </c>
      <c r="E19" s="9" t="n">
        <v>2</v>
      </c>
      <c r="F19" s="10" t="s">
        <v>29</v>
      </c>
      <c r="G19" s="2"/>
      <c r="H19" s="2"/>
    </row>
    <row r="20" customFormat="false" ht="21.75" hidden="false" customHeight="true" outlineLevel="0" collapsed="false">
      <c r="A20" s="11" t="s">
        <v>28</v>
      </c>
      <c r="B20" s="12" t="s">
        <v>12</v>
      </c>
      <c r="C20" s="13" t="n">
        <v>180</v>
      </c>
      <c r="D20" s="14" t="n">
        <v>7</v>
      </c>
      <c r="E20" s="14" t="n">
        <v>3</v>
      </c>
      <c r="F20" s="15" t="s">
        <v>30</v>
      </c>
      <c r="G20" s="2"/>
      <c r="H20" s="2"/>
    </row>
    <row r="21" customFormat="false" ht="21.75" hidden="false" customHeight="true" outlineLevel="0" collapsed="false">
      <c r="A21" s="6" t="s">
        <v>28</v>
      </c>
      <c r="B21" s="16" t="s">
        <v>14</v>
      </c>
      <c r="C21" s="8" t="n">
        <v>400</v>
      </c>
      <c r="D21" s="9" t="n">
        <v>14</v>
      </c>
      <c r="E21" s="9" t="n">
        <v>5</v>
      </c>
      <c r="F21" s="10" t="s">
        <v>31</v>
      </c>
      <c r="G21" s="2"/>
      <c r="H21" s="2"/>
    </row>
    <row r="22" customFormat="false" ht="21.75" hidden="false" customHeight="true" outlineLevel="0" collapsed="false">
      <c r="A22" s="11" t="s">
        <v>32</v>
      </c>
      <c r="B22" s="7" t="s">
        <v>10</v>
      </c>
      <c r="C22" s="13" t="n">
        <v>70</v>
      </c>
      <c r="D22" s="14" t="n">
        <v>3</v>
      </c>
      <c r="E22" s="14" t="n">
        <v>2</v>
      </c>
      <c r="F22" s="15" t="s">
        <v>33</v>
      </c>
      <c r="G22" s="2"/>
      <c r="H22" s="2"/>
    </row>
    <row r="23" customFormat="false" ht="21.75" hidden="false" customHeight="true" outlineLevel="0" collapsed="false">
      <c r="A23" s="6" t="s">
        <v>32</v>
      </c>
      <c r="B23" s="12" t="s">
        <v>12</v>
      </c>
      <c r="C23" s="8" t="n">
        <v>200</v>
      </c>
      <c r="D23" s="9" t="n">
        <v>7</v>
      </c>
      <c r="E23" s="9" t="n">
        <v>4</v>
      </c>
      <c r="F23" s="10" t="s">
        <v>34</v>
      </c>
      <c r="G23" s="2"/>
      <c r="H23" s="2"/>
    </row>
    <row r="24" customFormat="false" ht="21.75" hidden="false" customHeight="true" outlineLevel="0" collapsed="false">
      <c r="A24" s="11" t="s">
        <v>35</v>
      </c>
      <c r="B24" s="7" t="s">
        <v>10</v>
      </c>
      <c r="C24" s="13" t="n">
        <v>15</v>
      </c>
      <c r="D24" s="14" t="n">
        <v>1</v>
      </c>
      <c r="E24" s="14" t="n">
        <v>3</v>
      </c>
      <c r="F24" s="15" t="s">
        <v>36</v>
      </c>
      <c r="G24" s="2"/>
      <c r="H24" s="2"/>
    </row>
    <row r="25" customFormat="false" ht="27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24" hidden="false" customHeight="true" outlineLevel="0" collapsed="false">
      <c r="A26" s="4" t="s">
        <v>37</v>
      </c>
      <c r="B26" s="4"/>
      <c r="C26" s="4"/>
      <c r="D26" s="4"/>
      <c r="E26" s="4"/>
      <c r="F26" s="4"/>
      <c r="G26" s="2"/>
      <c r="H26" s="2"/>
    </row>
    <row r="27" customFormat="false" ht="27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27.75" hidden="false" customHeight="true" outlineLevel="0" collapsed="false">
      <c r="A28" s="17" t="s">
        <v>38</v>
      </c>
      <c r="B28" s="18" t="n">
        <v>500</v>
      </c>
      <c r="C28" s="2"/>
      <c r="D28" s="5" t="s">
        <v>39</v>
      </c>
      <c r="E28" s="5" t="s">
        <v>40</v>
      </c>
      <c r="F28" s="5" t="s">
        <v>41</v>
      </c>
      <c r="G28" s="2"/>
      <c r="H28" s="2"/>
    </row>
    <row r="29" customFormat="false" ht="21.75" hidden="false" customHeight="true" outlineLevel="0" collapsed="false">
      <c r="A29" s="17" t="s">
        <v>42</v>
      </c>
      <c r="B29" s="19" t="n">
        <f aca="false">IF(B28&gt;=2000,0.15,IF(B28&gt;=1000,0.1,IF(B28&gt;=500,0.05,0)))</f>
        <v>0.05</v>
      </c>
      <c r="C29" s="2"/>
      <c r="D29" s="10" t="s">
        <v>43</v>
      </c>
      <c r="E29" s="20" t="n">
        <v>0.05</v>
      </c>
      <c r="F29" s="10" t="s">
        <v>44</v>
      </c>
      <c r="G29" s="2"/>
      <c r="H29" s="2"/>
    </row>
    <row r="30" customFormat="false" ht="21.75" hidden="false" customHeight="true" outlineLevel="0" collapsed="false">
      <c r="A30" s="17" t="s">
        <v>45</v>
      </c>
      <c r="B30" s="21" t="n">
        <f aca="false">B28*B29</f>
        <v>25</v>
      </c>
      <c r="C30" s="2"/>
      <c r="D30" s="15" t="s">
        <v>46</v>
      </c>
      <c r="E30" s="22" t="n">
        <v>0.1</v>
      </c>
      <c r="F30" s="15" t="s">
        <v>47</v>
      </c>
      <c r="G30" s="2"/>
      <c r="H30" s="2"/>
    </row>
    <row r="31" customFormat="false" ht="21.75" hidden="false" customHeight="true" outlineLevel="0" collapsed="false">
      <c r="A31" s="23" t="s">
        <v>48</v>
      </c>
      <c r="B31" s="24" t="n">
        <f aca="false">B28-B30</f>
        <v>475</v>
      </c>
      <c r="C31" s="2"/>
      <c r="D31" s="10" t="s">
        <v>49</v>
      </c>
      <c r="E31" s="20" t="n">
        <v>0.15</v>
      </c>
      <c r="F31" s="10" t="s">
        <v>50</v>
      </c>
      <c r="G31" s="2"/>
      <c r="H31" s="2"/>
    </row>
    <row r="32" customFormat="false" ht="15" hidden="false" customHeight="false" outlineLevel="0" collapsed="false">
      <c r="A32" s="25" t="s">
        <v>51</v>
      </c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</row>
  </sheetData>
  <mergeCells count="4">
    <mergeCell ref="A1:F1"/>
    <mergeCell ref="A2:F2"/>
    <mergeCell ref="A4:F4"/>
    <mergeCell ref="A26:F26"/>
  </mergeCells>
  <conditionalFormatting sqref="C7:C24">
    <cfRule type="dataBar" priority="2">
      <dataBar showValue="1" minLength="10" maxLength="90">
        <cfvo type="min" val="0"/>
        <cfvo type="max" val="0"/>
        <color rgb="FF14B8A6"/>
      </dataBar>
      <extLst>
        <ext xmlns:x14="http://schemas.microsoft.com/office/spreadsheetml/2009/9/main" uri="{B025F937-C7B1-47D3-B67F-A62EFF666E3E}">
          <x14:id>{247E7740-4C4E-4980-88F8-DF4D5D233C93}</x14:id>
        </ext>
      </extLst>
    </cfRule>
  </conditionalFormatting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7E7740-4C4E-4980-88F8-DF4D5D233C93}">
            <x14:dataBar minLength="10" maxLength="90" axisPosition="none" gradient="true">
              <x14:cfvo type="min"/>
              <x14:cfvo type="max"/>
              <x14:negativeFillColor rgb="FF14B8A6"/>
              <x14:axisColor rgb="FF000000"/>
            </x14:dataBar>
          </x14:cfRule>
          <xm:sqref>C7:C24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2026-05-10T10:23:56Z</dcterms:created>
  <dc:creator>openpyxl</dc:creator>
  <dc:description/>
  <dc:language>en-US</dc:language>
  <cp:lastModifiedBy>Ali Raza</cp:lastModifiedBy>
  <dcterms:modified xsi:type="dcterms:W3CDTF">2026-05-17T16:23:43Z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